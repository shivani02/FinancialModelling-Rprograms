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8010" activeTab="3"/>
  </bookViews>
  <sheets>
    <sheet name="Volatility" sheetId="1" r:id="rId1"/>
    <sheet name="Options" sheetId="2" r:id="rId2"/>
    <sheet name="FinitePrice" sheetId="3" r:id="rId3"/>
    <sheet name="montecarlo" sheetId="5" r:id="rId4"/>
  </sheets>
  <functionGroups/>
  <calcPr calcId="125725"/>
</workbook>
</file>

<file path=xl/calcChain.xml><?xml version="1.0" encoding="utf-8"?>
<calcChain xmlns="http://schemas.openxmlformats.org/spreadsheetml/2006/main">
  <c r="C6" i="2"/>
  <c r="F3" i="1"/>
  <c r="C6" i="3"/>
  <c r="F4" i="1"/>
</calcChain>
</file>

<file path=xl/sharedStrings.xml><?xml version="1.0" encoding="utf-8"?>
<sst xmlns="http://schemas.openxmlformats.org/spreadsheetml/2006/main" count="76" uniqueCount="43">
  <si>
    <t>Date</t>
  </si>
  <si>
    <t>Close Price</t>
  </si>
  <si>
    <t>Volatility</t>
  </si>
  <si>
    <t>Log</t>
  </si>
  <si>
    <t>Arithmatic</t>
  </si>
  <si>
    <t>S0</t>
  </si>
  <si>
    <t>uS0</t>
  </si>
  <si>
    <t>dS0</t>
  </si>
  <si>
    <t>u^2S0</t>
  </si>
  <si>
    <t>udS0</t>
  </si>
  <si>
    <t>d^2S0</t>
  </si>
  <si>
    <t>u^3S0</t>
  </si>
  <si>
    <t>u^2dS0</t>
  </si>
  <si>
    <t>ud^2S0</t>
  </si>
  <si>
    <t>d^3S0</t>
  </si>
  <si>
    <t>Underlying Asset</t>
  </si>
  <si>
    <t>Price</t>
  </si>
  <si>
    <t>Income Yield</t>
  </si>
  <si>
    <t>Option</t>
  </si>
  <si>
    <t>Call/Put</t>
  </si>
  <si>
    <t>Call</t>
  </si>
  <si>
    <t>Put</t>
  </si>
  <si>
    <t>European</t>
  </si>
  <si>
    <t>American</t>
  </si>
  <si>
    <t>Type</t>
  </si>
  <si>
    <t>Asian</t>
  </si>
  <si>
    <t>Strike Price</t>
  </si>
  <si>
    <t>Time to Maturity</t>
  </si>
  <si>
    <t>Number of steps</t>
  </si>
  <si>
    <t>Risk free rate</t>
  </si>
  <si>
    <t>days</t>
  </si>
  <si>
    <t>S matrix</t>
  </si>
  <si>
    <t>Payoff Matrix</t>
  </si>
  <si>
    <t>Values</t>
  </si>
  <si>
    <t>Nt</t>
  </si>
  <si>
    <t>Ny</t>
  </si>
  <si>
    <t>No of steps</t>
  </si>
  <si>
    <t>Time to Mtaurity</t>
  </si>
  <si>
    <t>volatility</t>
  </si>
  <si>
    <t>mean</t>
  </si>
  <si>
    <t>Simulation</t>
  </si>
  <si>
    <t>Barrier</t>
  </si>
  <si>
    <t xml:space="preserve">Barrier 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</si>
</sst>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15" fontId="0" fillId="0" borderId="0" xfId="0" applyNumberFormat="1"/>
    <xf numFmtId="0" fontId="1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F257"/>
  <sheetViews>
    <sheetView topLeftCell="A232" workbookViewId="0">
      <selection activeCell="D8" sqref="D8"/>
    </sheetView>
  </sheetViews>
  <sheetFormatPr defaultRowHeight="15"/>
  <cols>
    <col min="2" max="2" width="12.7109375" customWidth="1"/>
    <col min="3" max="3" width="13.140625" customWidth="1"/>
    <col min="5" max="5" width="10.28515625" customWidth="1"/>
  </cols>
  <sheetData>
    <row r="2" spans="2:6">
      <c r="B2" s="1" t="s">
        <v>0</v>
      </c>
      <c r="C2" s="1" t="s">
        <v>1</v>
      </c>
      <c r="E2" t="s">
        <v>2</v>
      </c>
    </row>
    <row r="3" spans="2:6">
      <c r="B3" s="2">
        <v>40940</v>
      </c>
      <c r="C3">
        <v>1609.15</v>
      </c>
      <c r="E3" t="s">
        <v>3</v>
      </c>
      <c r="F3">
        <f>LogVolatility(COUNT(B3:B254)-1,C3:C254)</f>
        <v>1.4454508434150347E-2</v>
      </c>
    </row>
    <row r="4" spans="2:6">
      <c r="B4" s="2">
        <v>40941</v>
      </c>
      <c r="C4">
        <v>1604.1</v>
      </c>
      <c r="E4" t="s">
        <v>4</v>
      </c>
      <c r="F4">
        <f>ArithVolatility(COUNT(B3:B254)-1,C3:C254)</f>
        <v>1.4504024072339137E-2</v>
      </c>
    </row>
    <row r="5" spans="2:6">
      <c r="B5" s="2">
        <v>40942</v>
      </c>
      <c r="C5">
        <v>1610.5</v>
      </c>
    </row>
    <row r="6" spans="2:6">
      <c r="B6" s="2">
        <v>40945</v>
      </c>
      <c r="C6">
        <v>1640.2</v>
      </c>
    </row>
    <row r="7" spans="2:6">
      <c r="B7" s="2">
        <v>40946</v>
      </c>
      <c r="C7">
        <v>1635.75</v>
      </c>
    </row>
    <row r="8" spans="2:6">
      <c r="B8" s="2">
        <v>40947</v>
      </c>
      <c r="C8">
        <v>1646.55</v>
      </c>
    </row>
    <row r="9" spans="2:6">
      <c r="B9" s="2">
        <v>40948</v>
      </c>
      <c r="C9">
        <v>1700.9</v>
      </c>
    </row>
    <row r="10" spans="2:6">
      <c r="B10" s="2">
        <v>40949</v>
      </c>
      <c r="C10">
        <v>1736.55</v>
      </c>
    </row>
    <row r="11" spans="2:6">
      <c r="B11" s="2">
        <v>40952</v>
      </c>
      <c r="C11">
        <v>1744.2</v>
      </c>
    </row>
    <row r="12" spans="2:6">
      <c r="B12" s="2">
        <v>40953</v>
      </c>
      <c r="C12">
        <v>1731.9</v>
      </c>
    </row>
    <row r="13" spans="2:6">
      <c r="B13" s="2">
        <v>40954</v>
      </c>
      <c r="C13">
        <v>1746.2</v>
      </c>
    </row>
    <row r="14" spans="2:6">
      <c r="B14" s="2">
        <v>40955</v>
      </c>
      <c r="C14">
        <v>1812.65</v>
      </c>
    </row>
    <row r="15" spans="2:6">
      <c r="B15" s="2">
        <v>40956</v>
      </c>
      <c r="C15">
        <v>1800.7</v>
      </c>
    </row>
    <row r="16" spans="2:6">
      <c r="B16" s="2">
        <v>40960</v>
      </c>
      <c r="C16">
        <v>1810.75</v>
      </c>
    </row>
    <row r="17" spans="2:3">
      <c r="B17" s="2">
        <v>40961</v>
      </c>
      <c r="C17">
        <v>1800.85</v>
      </c>
    </row>
    <row r="18" spans="2:3">
      <c r="B18" s="2">
        <v>40962</v>
      </c>
      <c r="C18">
        <v>1782.95</v>
      </c>
    </row>
    <row r="19" spans="2:3">
      <c r="B19" s="2">
        <v>40963</v>
      </c>
      <c r="C19">
        <v>1767.25</v>
      </c>
    </row>
    <row r="20" spans="2:3">
      <c r="B20" s="2">
        <v>40966</v>
      </c>
      <c r="C20">
        <v>1711.05</v>
      </c>
    </row>
    <row r="21" spans="2:3">
      <c r="B21" s="2">
        <v>40967</v>
      </c>
      <c r="C21">
        <v>1770.55</v>
      </c>
    </row>
    <row r="22" spans="2:3">
      <c r="B22" s="2">
        <v>40968</v>
      </c>
      <c r="C22">
        <v>1798.95</v>
      </c>
    </row>
    <row r="23" spans="2:3">
      <c r="B23" s="2">
        <v>40969</v>
      </c>
      <c r="C23">
        <v>1777.05</v>
      </c>
    </row>
    <row r="24" spans="2:3">
      <c r="B24" s="2">
        <v>40970</v>
      </c>
      <c r="C24">
        <v>1749.35</v>
      </c>
    </row>
    <row r="25" spans="2:3">
      <c r="B25" s="2">
        <v>40971</v>
      </c>
      <c r="C25">
        <v>1736.85</v>
      </c>
    </row>
    <row r="26" spans="2:3">
      <c r="B26" s="2">
        <v>40973</v>
      </c>
      <c r="C26">
        <v>1701.6</v>
      </c>
    </row>
    <row r="27" spans="2:3">
      <c r="B27" s="2">
        <v>40974</v>
      </c>
      <c r="C27">
        <v>1711.25</v>
      </c>
    </row>
    <row r="28" spans="2:3">
      <c r="B28" s="2">
        <v>40975</v>
      </c>
      <c r="C28">
        <v>1730.6</v>
      </c>
    </row>
    <row r="29" spans="2:3">
      <c r="B29" s="2">
        <v>40977</v>
      </c>
      <c r="C29">
        <v>1749.5</v>
      </c>
    </row>
    <row r="30" spans="2:3">
      <c r="B30" s="2">
        <v>40980</v>
      </c>
      <c r="C30">
        <v>1789</v>
      </c>
    </row>
    <row r="31" spans="2:3">
      <c r="B31" s="2">
        <v>40981</v>
      </c>
      <c r="C31">
        <v>1781.35</v>
      </c>
    </row>
    <row r="32" spans="2:3">
      <c r="B32" s="2">
        <v>40982</v>
      </c>
      <c r="C32">
        <v>1764.7</v>
      </c>
    </row>
    <row r="33" spans="2:3">
      <c r="B33" s="2">
        <v>40983</v>
      </c>
      <c r="C33">
        <v>1737.1</v>
      </c>
    </row>
    <row r="34" spans="2:3">
      <c r="B34" s="2">
        <v>40984</v>
      </c>
      <c r="C34">
        <v>1721.85</v>
      </c>
    </row>
    <row r="35" spans="2:3">
      <c r="B35" s="2">
        <v>40987</v>
      </c>
      <c r="C35">
        <v>1711.4</v>
      </c>
    </row>
    <row r="36" spans="2:3">
      <c r="B36" s="2">
        <v>40988</v>
      </c>
      <c r="C36">
        <v>1690.15</v>
      </c>
    </row>
    <row r="37" spans="2:3">
      <c r="B37" s="2">
        <v>40989</v>
      </c>
      <c r="C37">
        <v>1732.35</v>
      </c>
    </row>
    <row r="38" spans="2:3">
      <c r="B38" s="2">
        <v>40990</v>
      </c>
      <c r="C38">
        <v>1691.55</v>
      </c>
    </row>
    <row r="39" spans="2:3">
      <c r="B39" s="2">
        <v>40991</v>
      </c>
      <c r="C39">
        <v>1711.25</v>
      </c>
    </row>
    <row r="40" spans="2:3">
      <c r="B40" s="2">
        <v>40994</v>
      </c>
      <c r="C40">
        <v>1660.4</v>
      </c>
    </row>
    <row r="41" spans="2:3">
      <c r="B41" s="2">
        <v>40995</v>
      </c>
      <c r="C41">
        <v>1660.2</v>
      </c>
    </row>
    <row r="42" spans="2:3">
      <c r="B42" s="2">
        <v>40996</v>
      </c>
      <c r="C42">
        <v>1636.55</v>
      </c>
    </row>
    <row r="43" spans="2:3">
      <c r="B43" s="2">
        <v>40997</v>
      </c>
      <c r="C43">
        <v>1654.7</v>
      </c>
    </row>
    <row r="44" spans="2:3">
      <c r="B44" s="2">
        <v>40998</v>
      </c>
      <c r="C44">
        <v>1677.9</v>
      </c>
    </row>
    <row r="45" spans="2:3">
      <c r="B45" s="2">
        <v>41001</v>
      </c>
      <c r="C45">
        <v>1653.55</v>
      </c>
    </row>
    <row r="46" spans="2:3">
      <c r="B46" s="2">
        <v>41002</v>
      </c>
      <c r="C46">
        <v>1647.7</v>
      </c>
    </row>
    <row r="47" spans="2:3">
      <c r="B47" s="2">
        <v>41003</v>
      </c>
      <c r="C47">
        <v>1632.8</v>
      </c>
    </row>
    <row r="48" spans="2:3">
      <c r="B48" s="2">
        <v>41008</v>
      </c>
      <c r="C48">
        <v>1648.3</v>
      </c>
    </row>
    <row r="49" spans="2:3">
      <c r="B49" s="2">
        <v>41009</v>
      </c>
      <c r="C49">
        <v>1647.2</v>
      </c>
    </row>
    <row r="50" spans="2:3">
      <c r="B50" s="2">
        <v>41010</v>
      </c>
      <c r="C50">
        <v>1633.55</v>
      </c>
    </row>
    <row r="51" spans="2:3">
      <c r="B51" s="2">
        <v>41011</v>
      </c>
      <c r="C51">
        <v>1640.95</v>
      </c>
    </row>
    <row r="52" spans="2:3">
      <c r="B52" s="2">
        <v>41012</v>
      </c>
      <c r="C52">
        <v>1640.7</v>
      </c>
    </row>
    <row r="53" spans="2:3">
      <c r="B53" s="2">
        <v>41015</v>
      </c>
      <c r="C53">
        <v>1653.25</v>
      </c>
    </row>
    <row r="54" spans="2:3">
      <c r="B54" s="2">
        <v>41016</v>
      </c>
      <c r="C54">
        <v>1673.1</v>
      </c>
    </row>
    <row r="55" spans="2:3">
      <c r="B55" s="2">
        <v>41017</v>
      </c>
      <c r="C55">
        <v>1718.35</v>
      </c>
    </row>
    <row r="56" spans="2:3">
      <c r="B56" s="2">
        <v>41018</v>
      </c>
      <c r="C56">
        <v>1732.05</v>
      </c>
    </row>
    <row r="57" spans="2:3">
      <c r="B57" s="2">
        <v>41019</v>
      </c>
      <c r="C57">
        <v>1708.85</v>
      </c>
    </row>
    <row r="58" spans="2:3">
      <c r="B58" s="2">
        <v>41022</v>
      </c>
      <c r="C58">
        <v>1673.25</v>
      </c>
    </row>
    <row r="59" spans="2:3">
      <c r="B59" s="2">
        <v>41023</v>
      </c>
      <c r="C59">
        <v>1647.45</v>
      </c>
    </row>
    <row r="60" spans="2:3">
      <c r="B60" s="2">
        <v>41024</v>
      </c>
      <c r="C60">
        <v>1654.15</v>
      </c>
    </row>
    <row r="61" spans="2:3">
      <c r="B61" s="2">
        <v>41025</v>
      </c>
      <c r="C61">
        <v>1605.45</v>
      </c>
    </row>
    <row r="62" spans="2:3">
      <c r="B62" s="2">
        <v>41026</v>
      </c>
      <c r="C62">
        <v>1582.55</v>
      </c>
    </row>
    <row r="63" spans="2:3">
      <c r="B63" s="2">
        <v>41027</v>
      </c>
      <c r="C63">
        <v>1594.3</v>
      </c>
    </row>
    <row r="64" spans="2:3">
      <c r="B64" s="2">
        <v>41029</v>
      </c>
      <c r="C64">
        <v>1623.1</v>
      </c>
    </row>
    <row r="65" spans="2:3">
      <c r="B65" s="2">
        <v>41031</v>
      </c>
      <c r="C65">
        <v>1593.15</v>
      </c>
    </row>
    <row r="66" spans="2:3">
      <c r="B66" s="2">
        <v>41032</v>
      </c>
      <c r="C66">
        <v>1560.45</v>
      </c>
    </row>
    <row r="67" spans="2:3">
      <c r="B67" s="2">
        <v>41033</v>
      </c>
      <c r="C67">
        <v>1501.75</v>
      </c>
    </row>
    <row r="68" spans="2:3">
      <c r="B68" s="2">
        <v>41036</v>
      </c>
      <c r="C68">
        <v>1515.45</v>
      </c>
    </row>
    <row r="69" spans="2:3">
      <c r="B69" s="2">
        <v>41037</v>
      </c>
      <c r="C69">
        <v>1493.95</v>
      </c>
    </row>
    <row r="70" spans="2:3">
      <c r="B70" s="2">
        <v>41038</v>
      </c>
      <c r="C70">
        <v>1511.75</v>
      </c>
    </row>
    <row r="71" spans="2:3">
      <c r="B71" s="2">
        <v>41039</v>
      </c>
      <c r="C71">
        <v>1502.9</v>
      </c>
    </row>
    <row r="72" spans="2:3">
      <c r="B72" s="2">
        <v>41040</v>
      </c>
      <c r="C72">
        <v>1555.2</v>
      </c>
    </row>
    <row r="73" spans="2:3">
      <c r="B73" s="2">
        <v>41043</v>
      </c>
      <c r="C73">
        <v>1583.15</v>
      </c>
    </row>
    <row r="74" spans="2:3">
      <c r="B74" s="2">
        <v>41044</v>
      </c>
      <c r="C74">
        <v>1609</v>
      </c>
    </row>
    <row r="75" spans="2:3">
      <c r="B75" s="2">
        <v>41045</v>
      </c>
      <c r="C75">
        <v>1616.5</v>
      </c>
    </row>
    <row r="76" spans="2:3">
      <c r="B76" s="2">
        <v>41046</v>
      </c>
      <c r="C76">
        <v>1574.35</v>
      </c>
    </row>
    <row r="77" spans="2:3">
      <c r="B77" s="2">
        <v>41047</v>
      </c>
      <c r="C77">
        <v>1532.95</v>
      </c>
    </row>
    <row r="78" spans="2:3">
      <c r="B78" s="2">
        <v>41050</v>
      </c>
      <c r="C78">
        <v>1522.35</v>
      </c>
    </row>
    <row r="79" spans="2:3">
      <c r="B79" s="2">
        <v>41051</v>
      </c>
      <c r="C79">
        <v>1507.7</v>
      </c>
    </row>
    <row r="80" spans="2:3">
      <c r="B80" s="2">
        <v>41052</v>
      </c>
      <c r="C80">
        <v>1487.1</v>
      </c>
    </row>
    <row r="81" spans="2:3">
      <c r="B81" s="2">
        <v>41053</v>
      </c>
      <c r="C81">
        <v>1503.15</v>
      </c>
    </row>
    <row r="82" spans="2:3">
      <c r="B82" s="2">
        <v>41054</v>
      </c>
      <c r="C82">
        <v>1496.35</v>
      </c>
    </row>
    <row r="83" spans="2:3">
      <c r="B83" s="2">
        <v>41057</v>
      </c>
      <c r="C83">
        <v>1512.7</v>
      </c>
    </row>
    <row r="84" spans="2:3">
      <c r="B84" s="2">
        <v>41058</v>
      </c>
      <c r="C84">
        <v>1526.45</v>
      </c>
    </row>
    <row r="85" spans="2:3">
      <c r="B85" s="2">
        <v>41059</v>
      </c>
      <c r="C85">
        <v>1518.8</v>
      </c>
    </row>
    <row r="86" spans="2:3">
      <c r="B86" s="2">
        <v>41060</v>
      </c>
      <c r="C86">
        <v>1513</v>
      </c>
    </row>
    <row r="87" spans="2:3">
      <c r="B87" s="2">
        <v>41061</v>
      </c>
      <c r="C87">
        <v>1499.5</v>
      </c>
    </row>
    <row r="88" spans="2:3">
      <c r="B88" s="2">
        <v>41064</v>
      </c>
      <c r="C88">
        <v>1491.6</v>
      </c>
    </row>
    <row r="89" spans="2:3">
      <c r="B89" s="2">
        <v>41065</v>
      </c>
      <c r="C89">
        <v>1494.2</v>
      </c>
    </row>
    <row r="90" spans="2:3">
      <c r="B90" s="2">
        <v>41066</v>
      </c>
      <c r="C90">
        <v>1543.2</v>
      </c>
    </row>
    <row r="91" spans="2:3">
      <c r="B91" s="2">
        <v>41067</v>
      </c>
      <c r="C91">
        <v>1545.1</v>
      </c>
    </row>
    <row r="92" spans="2:3">
      <c r="B92" s="2">
        <v>41068</v>
      </c>
      <c r="C92">
        <v>1528.65</v>
      </c>
    </row>
    <row r="93" spans="2:3">
      <c r="B93" s="2">
        <v>41071</v>
      </c>
      <c r="C93">
        <v>1560.35</v>
      </c>
    </row>
    <row r="94" spans="2:3">
      <c r="B94" s="2">
        <v>41072</v>
      </c>
      <c r="C94">
        <v>1571.45</v>
      </c>
    </row>
    <row r="95" spans="2:3">
      <c r="B95" s="2">
        <v>41073</v>
      </c>
      <c r="C95">
        <v>1561.2</v>
      </c>
    </row>
    <row r="96" spans="2:3">
      <c r="B96" s="2">
        <v>41074</v>
      </c>
      <c r="C96">
        <v>1549.4</v>
      </c>
    </row>
    <row r="97" spans="2:3">
      <c r="B97" s="2">
        <v>41075</v>
      </c>
      <c r="C97">
        <v>1527.55</v>
      </c>
    </row>
    <row r="98" spans="2:3">
      <c r="B98" s="2">
        <v>41078</v>
      </c>
      <c r="C98">
        <v>1541.95</v>
      </c>
    </row>
    <row r="99" spans="2:3">
      <c r="B99" s="2">
        <v>41079</v>
      </c>
      <c r="C99">
        <v>1537.55</v>
      </c>
    </row>
    <row r="100" spans="2:3">
      <c r="B100" s="2">
        <v>41080</v>
      </c>
      <c r="C100">
        <v>1535.25</v>
      </c>
    </row>
    <row r="101" spans="2:3">
      <c r="B101" s="2">
        <v>41081</v>
      </c>
      <c r="C101">
        <v>1537.35</v>
      </c>
    </row>
    <row r="102" spans="2:3">
      <c r="B102" s="2">
        <v>41082</v>
      </c>
      <c r="C102">
        <v>1545.3</v>
      </c>
    </row>
    <row r="103" spans="2:3">
      <c r="B103" s="2">
        <v>41085</v>
      </c>
      <c r="C103">
        <v>1550.05</v>
      </c>
    </row>
    <row r="104" spans="2:3">
      <c r="B104" s="2">
        <v>41086</v>
      </c>
      <c r="C104">
        <v>1559.2</v>
      </c>
    </row>
    <row r="105" spans="2:3">
      <c r="B105" s="2">
        <v>41087</v>
      </c>
      <c r="C105">
        <v>1560.3</v>
      </c>
    </row>
    <row r="106" spans="2:3">
      <c r="B106" s="2">
        <v>41088</v>
      </c>
      <c r="C106">
        <v>1550.45</v>
      </c>
    </row>
    <row r="107" spans="2:3">
      <c r="B107" s="2">
        <v>41089</v>
      </c>
      <c r="C107">
        <v>1572</v>
      </c>
    </row>
    <row r="108" spans="2:3">
      <c r="B108" s="2">
        <v>41092</v>
      </c>
      <c r="C108">
        <v>1561.05</v>
      </c>
    </row>
    <row r="109" spans="2:3">
      <c r="B109" s="2">
        <v>41093</v>
      </c>
      <c r="C109">
        <v>1562.05</v>
      </c>
    </row>
    <row r="110" spans="2:3">
      <c r="B110" s="2">
        <v>41094</v>
      </c>
      <c r="C110">
        <v>1583.5</v>
      </c>
    </row>
    <row r="111" spans="2:3">
      <c r="B111" s="2">
        <v>41095</v>
      </c>
      <c r="C111">
        <v>1555.3</v>
      </c>
    </row>
    <row r="112" spans="2:3">
      <c r="B112" s="2">
        <v>41096</v>
      </c>
      <c r="C112">
        <v>1539.55</v>
      </c>
    </row>
    <row r="113" spans="2:3">
      <c r="B113" s="2">
        <v>41099</v>
      </c>
      <c r="C113">
        <v>1504.15</v>
      </c>
    </row>
    <row r="114" spans="2:3">
      <c r="B114" s="2">
        <v>41100</v>
      </c>
      <c r="C114">
        <v>1523.15</v>
      </c>
    </row>
    <row r="115" spans="2:3">
      <c r="B115" s="2">
        <v>41101</v>
      </c>
      <c r="C115">
        <v>1513.4</v>
      </c>
    </row>
    <row r="116" spans="2:3">
      <c r="B116" s="2">
        <v>41102</v>
      </c>
      <c r="C116">
        <v>1491.5</v>
      </c>
    </row>
    <row r="117" spans="2:3">
      <c r="B117" s="2">
        <v>41103</v>
      </c>
      <c r="C117">
        <v>1497.15</v>
      </c>
    </row>
    <row r="118" spans="2:3">
      <c r="B118" s="2">
        <v>41106</v>
      </c>
      <c r="C118">
        <v>1483.25</v>
      </c>
    </row>
    <row r="119" spans="2:3">
      <c r="B119" s="2">
        <v>41107</v>
      </c>
      <c r="C119">
        <v>1447.15</v>
      </c>
    </row>
    <row r="120" spans="2:3">
      <c r="B120" s="2">
        <v>41108</v>
      </c>
      <c r="C120">
        <v>1522.35</v>
      </c>
    </row>
    <row r="121" spans="2:3">
      <c r="B121" s="2">
        <v>41109</v>
      </c>
      <c r="C121">
        <v>1549.2</v>
      </c>
    </row>
    <row r="122" spans="2:3">
      <c r="B122" s="2">
        <v>41110</v>
      </c>
      <c r="C122">
        <v>1590.6</v>
      </c>
    </row>
    <row r="123" spans="2:3">
      <c r="B123" s="2">
        <v>41113</v>
      </c>
      <c r="C123">
        <v>1561.2</v>
      </c>
    </row>
    <row r="124" spans="2:3">
      <c r="B124" s="2">
        <v>41114</v>
      </c>
      <c r="C124">
        <v>1559.35</v>
      </c>
    </row>
    <row r="125" spans="2:3">
      <c r="B125" s="2">
        <v>41115</v>
      </c>
      <c r="C125">
        <v>1561.65</v>
      </c>
    </row>
    <row r="126" spans="2:3">
      <c r="B126" s="2">
        <v>41116</v>
      </c>
      <c r="C126">
        <v>1583.1</v>
      </c>
    </row>
    <row r="127" spans="2:3">
      <c r="B127" s="2">
        <v>41117</v>
      </c>
      <c r="C127">
        <v>1582.05</v>
      </c>
    </row>
    <row r="128" spans="2:3">
      <c r="B128" s="2">
        <v>41120</v>
      </c>
      <c r="C128">
        <v>1604.6</v>
      </c>
    </row>
    <row r="129" spans="2:3">
      <c r="B129" s="2">
        <v>41121</v>
      </c>
      <c r="C129">
        <v>1601.35</v>
      </c>
    </row>
    <row r="130" spans="2:3">
      <c r="B130" s="2">
        <v>41122</v>
      </c>
      <c r="C130">
        <v>1614.9</v>
      </c>
    </row>
    <row r="131" spans="2:3">
      <c r="B131" s="2">
        <v>41123</v>
      </c>
      <c r="C131">
        <v>1625.15</v>
      </c>
    </row>
    <row r="132" spans="2:3">
      <c r="B132" s="2">
        <v>41124</v>
      </c>
      <c r="C132">
        <v>1613.3</v>
      </c>
    </row>
    <row r="133" spans="2:3">
      <c r="B133" s="2">
        <v>41127</v>
      </c>
      <c r="C133">
        <v>1633</v>
      </c>
    </row>
    <row r="134" spans="2:3">
      <c r="B134" s="2">
        <v>41128</v>
      </c>
      <c r="C134">
        <v>1668.2</v>
      </c>
    </row>
    <row r="135" spans="2:3">
      <c r="B135" s="2">
        <v>41129</v>
      </c>
      <c r="C135">
        <v>1675.15</v>
      </c>
    </row>
    <row r="136" spans="2:3">
      <c r="B136" s="2">
        <v>41130</v>
      </c>
      <c r="C136">
        <v>1691.05</v>
      </c>
    </row>
    <row r="137" spans="2:3">
      <c r="B137" s="2">
        <v>41131</v>
      </c>
      <c r="C137">
        <v>1679.85</v>
      </c>
    </row>
    <row r="138" spans="2:3">
      <c r="B138" s="2">
        <v>41134</v>
      </c>
      <c r="C138">
        <v>1708</v>
      </c>
    </row>
    <row r="139" spans="2:3">
      <c r="B139" s="2">
        <v>41135</v>
      </c>
      <c r="C139">
        <v>1691.45</v>
      </c>
    </row>
    <row r="140" spans="2:3">
      <c r="B140" s="2">
        <v>41137</v>
      </c>
      <c r="C140">
        <v>1690.2</v>
      </c>
    </row>
    <row r="141" spans="2:3">
      <c r="B141" s="2">
        <v>41138</v>
      </c>
      <c r="C141">
        <v>1696.5</v>
      </c>
    </row>
    <row r="142" spans="2:3">
      <c r="B142" s="2">
        <v>41142</v>
      </c>
      <c r="C142">
        <v>1712.1</v>
      </c>
    </row>
    <row r="143" spans="2:3">
      <c r="B143" s="2">
        <v>41143</v>
      </c>
      <c r="C143">
        <v>1725.7</v>
      </c>
    </row>
    <row r="144" spans="2:3">
      <c r="B144" s="2">
        <v>41144</v>
      </c>
      <c r="C144">
        <v>1708.4</v>
      </c>
    </row>
    <row r="145" spans="2:3">
      <c r="B145" s="2">
        <v>41145</v>
      </c>
      <c r="C145">
        <v>1712.05</v>
      </c>
    </row>
    <row r="146" spans="2:3">
      <c r="B146" s="2">
        <v>41148</v>
      </c>
      <c r="C146">
        <v>1722.85</v>
      </c>
    </row>
    <row r="147" spans="2:3">
      <c r="B147" s="2">
        <v>41149</v>
      </c>
      <c r="C147">
        <v>1694.35</v>
      </c>
    </row>
    <row r="148" spans="2:3">
      <c r="B148" s="2">
        <v>41150</v>
      </c>
      <c r="C148">
        <v>1627.25</v>
      </c>
    </row>
    <row r="149" spans="2:3">
      <c r="B149" s="2">
        <v>41151</v>
      </c>
      <c r="C149">
        <v>1630.35</v>
      </c>
    </row>
    <row r="150" spans="2:3">
      <c r="B150" s="2">
        <v>41152</v>
      </c>
      <c r="C150">
        <v>1615.4</v>
      </c>
    </row>
    <row r="151" spans="2:3">
      <c r="B151" s="2">
        <v>41155</v>
      </c>
      <c r="C151">
        <v>1664.45</v>
      </c>
    </row>
    <row r="152" spans="2:3">
      <c r="B152" s="2">
        <v>41156</v>
      </c>
      <c r="C152">
        <v>1648.15</v>
      </c>
    </row>
    <row r="153" spans="2:3">
      <c r="B153" s="2">
        <v>41157</v>
      </c>
      <c r="C153">
        <v>1645.65</v>
      </c>
    </row>
    <row r="154" spans="2:3">
      <c r="B154" s="2">
        <v>41158</v>
      </c>
      <c r="C154">
        <v>1642.75</v>
      </c>
    </row>
    <row r="155" spans="2:3">
      <c r="B155" s="2">
        <v>41159</v>
      </c>
      <c r="C155">
        <v>1687.2</v>
      </c>
    </row>
    <row r="156" spans="2:3">
      <c r="B156" s="2">
        <v>41160</v>
      </c>
      <c r="C156">
        <v>1683.95</v>
      </c>
    </row>
    <row r="157" spans="2:3">
      <c r="B157" s="2">
        <v>41162</v>
      </c>
      <c r="C157">
        <v>1703.95</v>
      </c>
    </row>
    <row r="158" spans="2:3">
      <c r="B158" s="2">
        <v>41163</v>
      </c>
      <c r="C158">
        <v>1710.6</v>
      </c>
    </row>
    <row r="159" spans="2:3">
      <c r="B159" s="2">
        <v>41164</v>
      </c>
      <c r="C159">
        <v>1692</v>
      </c>
    </row>
    <row r="160" spans="2:3">
      <c r="B160" s="2">
        <v>41165</v>
      </c>
      <c r="C160">
        <v>1712.85</v>
      </c>
    </row>
    <row r="161" spans="2:3">
      <c r="B161" s="2">
        <v>41166</v>
      </c>
      <c r="C161">
        <v>1743.7</v>
      </c>
    </row>
    <row r="162" spans="2:3">
      <c r="B162" s="2">
        <v>41169</v>
      </c>
      <c r="C162">
        <v>1737.3</v>
      </c>
    </row>
    <row r="163" spans="2:3">
      <c r="B163" s="2">
        <v>41170</v>
      </c>
      <c r="C163">
        <v>1748.2</v>
      </c>
    </row>
    <row r="164" spans="2:3">
      <c r="B164" s="2">
        <v>41172</v>
      </c>
      <c r="C164">
        <v>1788.55</v>
      </c>
    </row>
    <row r="165" spans="2:3">
      <c r="B165" s="2">
        <v>41173</v>
      </c>
      <c r="C165">
        <v>1800.35</v>
      </c>
    </row>
    <row r="166" spans="2:3">
      <c r="B166" s="2">
        <v>41176</v>
      </c>
      <c r="C166">
        <v>1807.95</v>
      </c>
    </row>
    <row r="167" spans="2:3">
      <c r="B167" s="2">
        <v>41177</v>
      </c>
      <c r="C167">
        <v>1789.75</v>
      </c>
    </row>
    <row r="168" spans="2:3">
      <c r="B168" s="2">
        <v>41178</v>
      </c>
      <c r="C168">
        <v>1797.4</v>
      </c>
    </row>
    <row r="169" spans="2:3">
      <c r="B169" s="2">
        <v>41179</v>
      </c>
      <c r="C169">
        <v>1816.4</v>
      </c>
    </row>
    <row r="170" spans="2:3">
      <c r="B170" s="2">
        <v>41180</v>
      </c>
      <c r="C170">
        <v>1832.5</v>
      </c>
    </row>
    <row r="171" spans="2:3">
      <c r="B171" s="2">
        <v>41183</v>
      </c>
      <c r="C171">
        <v>1812.25</v>
      </c>
    </row>
    <row r="172" spans="2:3">
      <c r="B172" s="2">
        <v>41185</v>
      </c>
      <c r="C172">
        <v>1783.9</v>
      </c>
    </row>
    <row r="173" spans="2:3">
      <c r="B173" s="2">
        <v>41186</v>
      </c>
      <c r="C173">
        <v>1765.25</v>
      </c>
    </row>
    <row r="174" spans="2:3">
      <c r="B174" s="2">
        <v>41187</v>
      </c>
      <c r="C174">
        <v>1751.05</v>
      </c>
    </row>
    <row r="175" spans="2:3">
      <c r="B175" s="2">
        <v>41190</v>
      </c>
      <c r="C175">
        <v>1750.65</v>
      </c>
    </row>
    <row r="176" spans="2:3">
      <c r="B176" s="2">
        <v>41191</v>
      </c>
      <c r="C176">
        <v>1745.35</v>
      </c>
    </row>
    <row r="177" spans="2:3">
      <c r="B177" s="2">
        <v>41192</v>
      </c>
      <c r="C177">
        <v>1741.05</v>
      </c>
    </row>
    <row r="178" spans="2:3">
      <c r="B178" s="2">
        <v>41193</v>
      </c>
      <c r="C178">
        <v>1758.25</v>
      </c>
    </row>
    <row r="179" spans="2:3">
      <c r="B179" s="2">
        <v>41194</v>
      </c>
      <c r="C179">
        <v>1743.6</v>
      </c>
    </row>
    <row r="180" spans="2:3">
      <c r="B180" s="2">
        <v>41197</v>
      </c>
      <c r="C180">
        <v>1750.65</v>
      </c>
    </row>
    <row r="181" spans="2:3">
      <c r="B181" s="2">
        <v>41198</v>
      </c>
      <c r="C181">
        <v>1750.85</v>
      </c>
    </row>
    <row r="182" spans="2:3">
      <c r="B182" s="2">
        <v>41199</v>
      </c>
      <c r="C182">
        <v>1754.8</v>
      </c>
    </row>
    <row r="183" spans="2:3">
      <c r="B183" s="2">
        <v>41200</v>
      </c>
      <c r="C183">
        <v>1773.55</v>
      </c>
    </row>
    <row r="184" spans="2:3">
      <c r="B184" s="2">
        <v>41201</v>
      </c>
      <c r="C184">
        <v>1770.2</v>
      </c>
    </row>
    <row r="185" spans="2:3">
      <c r="B185" s="2">
        <v>41204</v>
      </c>
      <c r="C185">
        <v>1782.5</v>
      </c>
    </row>
    <row r="186" spans="2:3">
      <c r="B186" s="2">
        <v>41205</v>
      </c>
      <c r="C186">
        <v>1770.9</v>
      </c>
    </row>
    <row r="187" spans="2:3">
      <c r="B187" s="2">
        <v>41207</v>
      </c>
      <c r="C187">
        <v>1764.6</v>
      </c>
    </row>
    <row r="188" spans="2:3">
      <c r="B188" s="2">
        <v>41208</v>
      </c>
      <c r="C188">
        <v>1787.8</v>
      </c>
    </row>
    <row r="189" spans="2:3">
      <c r="B189" s="2">
        <v>41211</v>
      </c>
      <c r="C189">
        <v>1806.25</v>
      </c>
    </row>
    <row r="190" spans="2:3">
      <c r="B190" s="2">
        <v>41212</v>
      </c>
      <c r="C190">
        <v>1797.15</v>
      </c>
    </row>
    <row r="191" spans="2:3">
      <c r="B191" s="2">
        <v>41213</v>
      </c>
      <c r="C191">
        <v>1813.95</v>
      </c>
    </row>
    <row r="192" spans="2:3">
      <c r="B192" s="2">
        <v>41214</v>
      </c>
      <c r="C192">
        <v>1845.05</v>
      </c>
    </row>
    <row r="193" spans="2:3">
      <c r="B193" s="2">
        <v>41215</v>
      </c>
      <c r="C193">
        <v>1898.55</v>
      </c>
    </row>
    <row r="194" spans="2:3">
      <c r="B194" s="2">
        <v>41218</v>
      </c>
      <c r="C194">
        <v>1860.25</v>
      </c>
    </row>
    <row r="195" spans="2:3">
      <c r="B195" s="2">
        <v>41219</v>
      </c>
      <c r="C195">
        <v>1849.05</v>
      </c>
    </row>
    <row r="196" spans="2:3">
      <c r="B196" s="2">
        <v>41220</v>
      </c>
      <c r="C196">
        <v>1857.9</v>
      </c>
    </row>
    <row r="197" spans="2:3">
      <c r="B197" s="2">
        <v>41221</v>
      </c>
      <c r="C197">
        <v>1845.45</v>
      </c>
    </row>
    <row r="198" spans="2:3">
      <c r="B198" s="2">
        <v>41222</v>
      </c>
      <c r="C198">
        <v>1852.05</v>
      </c>
    </row>
    <row r="199" spans="2:3">
      <c r="B199" s="2">
        <v>41225</v>
      </c>
      <c r="C199">
        <v>1855.05</v>
      </c>
    </row>
    <row r="200" spans="2:3">
      <c r="B200" s="2">
        <v>41226</v>
      </c>
      <c r="C200">
        <v>1844.55</v>
      </c>
    </row>
    <row r="201" spans="2:3">
      <c r="B201" s="2">
        <v>41228</v>
      </c>
      <c r="C201">
        <v>1835.6</v>
      </c>
    </row>
    <row r="202" spans="2:3">
      <c r="B202" s="2">
        <v>41229</v>
      </c>
      <c r="C202">
        <v>1813.6</v>
      </c>
    </row>
    <row r="203" spans="2:3">
      <c r="B203" s="2">
        <v>41232</v>
      </c>
      <c r="C203">
        <v>1854.1</v>
      </c>
    </row>
    <row r="204" spans="2:3">
      <c r="B204" s="2">
        <v>41233</v>
      </c>
      <c r="C204">
        <v>1828.4</v>
      </c>
    </row>
    <row r="205" spans="2:3">
      <c r="B205" s="2">
        <v>41234</v>
      </c>
      <c r="C205">
        <v>1820.1</v>
      </c>
    </row>
    <row r="206" spans="2:3">
      <c r="B206" s="2">
        <v>41235</v>
      </c>
      <c r="C206">
        <v>1815.55</v>
      </c>
    </row>
    <row r="207" spans="2:3">
      <c r="B207" s="2">
        <v>41236</v>
      </c>
      <c r="C207">
        <v>1816.7</v>
      </c>
    </row>
    <row r="208" spans="2:3">
      <c r="B208" s="2">
        <v>41239</v>
      </c>
      <c r="C208">
        <v>1822.6</v>
      </c>
    </row>
    <row r="209" spans="2:3">
      <c r="B209" s="2">
        <v>41240</v>
      </c>
      <c r="C209">
        <v>1859.45</v>
      </c>
    </row>
    <row r="210" spans="2:3">
      <c r="B210" s="2">
        <v>41242</v>
      </c>
      <c r="C210">
        <v>1952.55</v>
      </c>
    </row>
    <row r="211" spans="2:3">
      <c r="B211" s="2">
        <v>41243</v>
      </c>
      <c r="C211">
        <v>1930.55</v>
      </c>
    </row>
    <row r="212" spans="2:3">
      <c r="B212" s="2">
        <v>41246</v>
      </c>
      <c r="C212">
        <v>1926.55</v>
      </c>
    </row>
    <row r="213" spans="2:3">
      <c r="B213" s="2">
        <v>41247</v>
      </c>
      <c r="C213">
        <v>1956.4</v>
      </c>
    </row>
    <row r="214" spans="2:3">
      <c r="B214" s="2">
        <v>41248</v>
      </c>
      <c r="C214">
        <v>1926.85</v>
      </c>
    </row>
    <row r="215" spans="2:3">
      <c r="B215" s="2">
        <v>41249</v>
      </c>
      <c r="C215">
        <v>1951.1</v>
      </c>
    </row>
    <row r="216" spans="2:3">
      <c r="B216" s="2">
        <v>41250</v>
      </c>
      <c r="C216">
        <v>1939.7</v>
      </c>
    </row>
    <row r="217" spans="2:3">
      <c r="B217" s="2">
        <v>41253</v>
      </c>
      <c r="C217">
        <v>1959.25</v>
      </c>
    </row>
    <row r="218" spans="2:3">
      <c r="B218" s="2">
        <v>41254</v>
      </c>
      <c r="C218">
        <v>2003.95</v>
      </c>
    </row>
    <row r="219" spans="2:3">
      <c r="B219" s="2">
        <v>41255</v>
      </c>
      <c r="C219">
        <v>2055.5</v>
      </c>
    </row>
    <row r="220" spans="2:3">
      <c r="B220" s="2">
        <v>41256</v>
      </c>
      <c r="C220">
        <v>2083.25</v>
      </c>
    </row>
    <row r="221" spans="2:3">
      <c r="B221" s="2">
        <v>41257</v>
      </c>
      <c r="C221">
        <v>2080.25</v>
      </c>
    </row>
    <row r="222" spans="2:3">
      <c r="B222" s="2">
        <v>41260</v>
      </c>
      <c r="C222">
        <v>2105.5</v>
      </c>
    </row>
    <row r="223" spans="2:3">
      <c r="B223" s="2">
        <v>41261</v>
      </c>
      <c r="C223">
        <v>2095.9499999999998</v>
      </c>
    </row>
    <row r="224" spans="2:3">
      <c r="B224" s="2">
        <v>41262</v>
      </c>
      <c r="C224">
        <v>2142.85</v>
      </c>
    </row>
    <row r="225" spans="2:3">
      <c r="B225" s="2">
        <v>41263</v>
      </c>
      <c r="C225">
        <v>2113.5500000000002</v>
      </c>
    </row>
    <row r="226" spans="2:3">
      <c r="B226" s="2">
        <v>41264</v>
      </c>
      <c r="C226">
        <v>2087.4</v>
      </c>
    </row>
    <row r="227" spans="2:3">
      <c r="B227" s="2">
        <v>41267</v>
      </c>
      <c r="C227">
        <v>2106.8000000000002</v>
      </c>
    </row>
    <row r="228" spans="2:3">
      <c r="B228" s="2">
        <v>41269</v>
      </c>
      <c r="C228">
        <v>2144.15</v>
      </c>
    </row>
    <row r="229" spans="2:3">
      <c r="B229" s="2">
        <v>41270</v>
      </c>
      <c r="C229">
        <v>2134.75</v>
      </c>
    </row>
    <row r="230" spans="2:3">
      <c r="B230" s="2">
        <v>41271</v>
      </c>
      <c r="C230">
        <v>2136.75</v>
      </c>
    </row>
    <row r="231" spans="2:3">
      <c r="B231" s="2">
        <v>41274</v>
      </c>
      <c r="C231">
        <v>2131</v>
      </c>
    </row>
    <row r="232" spans="2:3">
      <c r="B232" s="2">
        <v>41275</v>
      </c>
      <c r="C232">
        <v>2136.9499999999998</v>
      </c>
    </row>
    <row r="233" spans="2:3">
      <c r="B233" s="2">
        <v>41276</v>
      </c>
      <c r="C233">
        <v>2202.6</v>
      </c>
    </row>
    <row r="234" spans="2:3">
      <c r="B234" s="2">
        <v>41277</v>
      </c>
      <c r="C234">
        <v>2213.9499999999998</v>
      </c>
    </row>
    <row r="235" spans="2:3">
      <c r="B235" s="2">
        <v>41278</v>
      </c>
      <c r="C235">
        <v>2204.5</v>
      </c>
    </row>
    <row r="236" spans="2:3">
      <c r="B236" s="2">
        <v>41281</v>
      </c>
      <c r="C236">
        <v>2193.5500000000002</v>
      </c>
    </row>
    <row r="237" spans="2:3">
      <c r="B237" s="2">
        <v>41282</v>
      </c>
      <c r="C237">
        <v>2198.6</v>
      </c>
    </row>
    <row r="238" spans="2:3">
      <c r="B238" s="2">
        <v>41283</v>
      </c>
      <c r="C238">
        <v>2157.1</v>
      </c>
    </row>
    <row r="239" spans="2:3">
      <c r="B239" s="2">
        <v>41284</v>
      </c>
      <c r="C239">
        <v>2139.1</v>
      </c>
    </row>
    <row r="240" spans="2:3">
      <c r="B240" s="2">
        <v>41285</v>
      </c>
      <c r="C240">
        <v>2117</v>
      </c>
    </row>
    <row r="241" spans="2:3">
      <c r="B241" s="2">
        <v>41288</v>
      </c>
      <c r="C241">
        <v>2092.8000000000002</v>
      </c>
    </row>
    <row r="242" spans="2:3">
      <c r="B242" s="2">
        <v>41289</v>
      </c>
      <c r="C242">
        <v>2115.25</v>
      </c>
    </row>
    <row r="243" spans="2:3">
      <c r="B243" s="2">
        <v>41290</v>
      </c>
      <c r="C243">
        <v>2075.6</v>
      </c>
    </row>
    <row r="244" spans="2:3">
      <c r="B244" s="2">
        <v>41291</v>
      </c>
      <c r="C244">
        <v>2051.9</v>
      </c>
    </row>
    <row r="245" spans="2:3">
      <c r="B245" s="2">
        <v>41292</v>
      </c>
      <c r="C245">
        <v>2055.9499999999998</v>
      </c>
    </row>
    <row r="246" spans="2:3">
      <c r="B246" s="2">
        <v>41295</v>
      </c>
      <c r="C246">
        <v>2054.1999999999998</v>
      </c>
    </row>
    <row r="247" spans="2:3">
      <c r="B247" s="2">
        <v>41296</v>
      </c>
      <c r="C247">
        <v>2061.8000000000002</v>
      </c>
    </row>
    <row r="248" spans="2:3">
      <c r="B248" s="2">
        <v>41297</v>
      </c>
      <c r="C248">
        <v>2036.25</v>
      </c>
    </row>
    <row r="249" spans="2:3">
      <c r="B249" s="2">
        <v>41298</v>
      </c>
      <c r="C249">
        <v>2011.65</v>
      </c>
    </row>
    <row r="250" spans="2:3">
      <c r="B250" s="2">
        <v>41299</v>
      </c>
      <c r="C250">
        <v>2079.1999999999998</v>
      </c>
    </row>
    <row r="251" spans="2:3">
      <c r="B251" s="2">
        <v>41302</v>
      </c>
      <c r="C251">
        <v>2086.5</v>
      </c>
    </row>
    <row r="252" spans="2:3">
      <c r="B252" s="2">
        <v>41303</v>
      </c>
      <c r="C252">
        <v>2031.75</v>
      </c>
    </row>
    <row r="253" spans="2:3">
      <c r="B253" s="2">
        <v>41304</v>
      </c>
      <c r="C253">
        <v>2027.25</v>
      </c>
    </row>
    <row r="254" spans="2:3">
      <c r="B254" s="2">
        <v>41305</v>
      </c>
      <c r="C254">
        <v>2027.8</v>
      </c>
    </row>
    <row r="255" spans="2:3">
      <c r="B255" s="2"/>
    </row>
    <row r="256" spans="2:3">
      <c r="B256" s="2"/>
    </row>
    <row r="257" spans="2:2">
      <c r="B257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3:P45"/>
  <sheetViews>
    <sheetView workbookViewId="0">
      <selection activeCell="B3" sqref="B3:B15"/>
    </sheetView>
  </sheetViews>
  <sheetFormatPr defaultRowHeight="15"/>
  <cols>
    <col min="2" max="2" width="19.5703125" customWidth="1"/>
    <col min="8" max="8" width="13" customWidth="1"/>
    <col min="12" max="12" width="10.5703125" customWidth="1"/>
    <col min="13" max="13" width="10.85546875" customWidth="1"/>
  </cols>
  <sheetData>
    <row r="3" spans="2:16">
      <c r="B3" s="3" t="s">
        <v>15</v>
      </c>
      <c r="M3" t="s">
        <v>5</v>
      </c>
      <c r="N3" t="s">
        <v>6</v>
      </c>
      <c r="O3" t="s">
        <v>8</v>
      </c>
      <c r="P3" t="s">
        <v>11</v>
      </c>
    </row>
    <row r="4" spans="2:16">
      <c r="B4" t="s">
        <v>16</v>
      </c>
      <c r="C4">
        <v>100</v>
      </c>
      <c r="N4" t="s">
        <v>7</v>
      </c>
      <c r="O4" t="s">
        <v>9</v>
      </c>
      <c r="P4" t="s">
        <v>12</v>
      </c>
    </row>
    <row r="5" spans="2:16">
      <c r="B5" t="s">
        <v>17</v>
      </c>
      <c r="C5">
        <v>0.04</v>
      </c>
      <c r="O5" t="s">
        <v>10</v>
      </c>
      <c r="P5" t="s">
        <v>13</v>
      </c>
    </row>
    <row r="6" spans="2:16">
      <c r="B6" t="s">
        <v>2</v>
      </c>
      <c r="C6">
        <f>LogVolatility(COUNT(Volatility!B3:B254)-1,Volatility!C3:C254)</f>
        <v>1.4454508434150347E-2</v>
      </c>
      <c r="P6" t="s">
        <v>14</v>
      </c>
    </row>
    <row r="8" spans="2:16">
      <c r="B8" s="3" t="s">
        <v>18</v>
      </c>
      <c r="L8" t="s">
        <v>20</v>
      </c>
    </row>
    <row r="9" spans="2:16">
      <c r="B9" t="s">
        <v>19</v>
      </c>
      <c r="C9" t="s">
        <v>20</v>
      </c>
      <c r="L9" t="s">
        <v>21</v>
      </c>
    </row>
    <row r="10" spans="2:16">
      <c r="B10" t="s">
        <v>24</v>
      </c>
      <c r="C10" t="s">
        <v>23</v>
      </c>
      <c r="L10" t="s">
        <v>22</v>
      </c>
    </row>
    <row r="11" spans="2:16">
      <c r="B11" t="s">
        <v>26</v>
      </c>
      <c r="C11">
        <v>100</v>
      </c>
      <c r="L11" t="s">
        <v>23</v>
      </c>
    </row>
    <row r="12" spans="2:16">
      <c r="B12" t="s">
        <v>27</v>
      </c>
      <c r="C12">
        <v>150</v>
      </c>
      <c r="D12" t="s">
        <v>30</v>
      </c>
      <c r="L12" t="s">
        <v>25</v>
      </c>
    </row>
    <row r="13" spans="2:16">
      <c r="B13" t="s">
        <v>28</v>
      </c>
      <c r="C13">
        <v>5</v>
      </c>
    </row>
    <row r="15" spans="2:16">
      <c r="B15" t="s">
        <v>29</v>
      </c>
      <c r="C15">
        <v>0.08</v>
      </c>
    </row>
    <row r="20" spans="2:8">
      <c r="B20" t="s">
        <v>31</v>
      </c>
    </row>
    <row r="21" spans="2:8">
      <c r="D21">
        <v>100</v>
      </c>
      <c r="E21">
        <v>100.41813748226944</v>
      </c>
      <c r="F21">
        <v>100.83802335407967</v>
      </c>
      <c r="G21">
        <v>101.25966492610269</v>
      </c>
      <c r="H21">
        <v>101.68306953957917</v>
      </c>
    </row>
    <row r="22" spans="2:8">
      <c r="E22">
        <v>99.583603627040702</v>
      </c>
      <c r="F22">
        <v>100</v>
      </c>
      <c r="G22">
        <v>100.41813748226943</v>
      </c>
      <c r="H22">
        <v>100.83802335407967</v>
      </c>
    </row>
    <row r="23" spans="2:8">
      <c r="F23">
        <v>99.16894111347554</v>
      </c>
      <c r="G23">
        <v>99.583603627040702</v>
      </c>
      <c r="H23">
        <v>99.999999999999986</v>
      </c>
    </row>
    <row r="24" spans="2:8">
      <c r="G24">
        <v>98.756005239576893</v>
      </c>
      <c r="H24">
        <v>99.16894111347554</v>
      </c>
    </row>
    <row r="25" spans="2:8">
      <c r="H25">
        <v>98.344788815679806</v>
      </c>
    </row>
    <row r="30" spans="2:8">
      <c r="B30" t="s">
        <v>32</v>
      </c>
    </row>
    <row r="31" spans="2:8">
      <c r="D31">
        <v>0</v>
      </c>
      <c r="E31">
        <v>0.41813748226944369</v>
      </c>
      <c r="F31">
        <v>0.83802335407966666</v>
      </c>
      <c r="G31">
        <v>1.2596649261026869</v>
      </c>
      <c r="H31">
        <v>1.6830695395791651</v>
      </c>
    </row>
    <row r="32" spans="2:8">
      <c r="E32">
        <v>0</v>
      </c>
      <c r="F32">
        <v>0</v>
      </c>
      <c r="G32">
        <v>0.41813748226942948</v>
      </c>
      <c r="H32">
        <v>0.83802335407966666</v>
      </c>
    </row>
    <row r="33" spans="2:8">
      <c r="F33">
        <v>0</v>
      </c>
      <c r="G33">
        <v>0</v>
      </c>
      <c r="H33" s="4">
        <v>0</v>
      </c>
    </row>
    <row r="34" spans="2:8">
      <c r="G34">
        <v>0</v>
      </c>
      <c r="H34">
        <v>0</v>
      </c>
    </row>
    <row r="35" spans="2:8">
      <c r="H35">
        <v>0</v>
      </c>
    </row>
    <row r="40" spans="2:8">
      <c r="B40" t="s">
        <v>33</v>
      </c>
    </row>
    <row r="41" spans="2:8">
      <c r="H41">
        <v>1.6830695395791651</v>
      </c>
    </row>
    <row r="42" spans="2:8">
      <c r="H42">
        <v>0.83802335407966666</v>
      </c>
    </row>
    <row r="43" spans="2:8">
      <c r="H43">
        <v>0</v>
      </c>
    </row>
    <row r="44" spans="2:8">
      <c r="H44">
        <v>0</v>
      </c>
    </row>
    <row r="45" spans="2:8">
      <c r="H45">
        <v>0</v>
      </c>
    </row>
  </sheetData>
  <dataValidations count="2">
    <dataValidation type="list" allowBlank="1" showInputMessage="1" showErrorMessage="1" sqref="C9">
      <formula1>$L$8:$L$9</formula1>
    </dataValidation>
    <dataValidation type="list" allowBlank="1" showInputMessage="1" showErrorMessage="1" sqref="C10">
      <formula1>$L$10:$L$12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3:M240"/>
  <sheetViews>
    <sheetView workbookViewId="0">
      <selection activeCell="L8" sqref="L8:L12"/>
    </sheetView>
  </sheetViews>
  <sheetFormatPr defaultRowHeight="15"/>
  <cols>
    <col min="2" max="2" width="16.28515625" bestFit="1" customWidth="1"/>
  </cols>
  <sheetData>
    <row r="3" spans="2:12">
      <c r="B3" s="3" t="s">
        <v>15</v>
      </c>
    </row>
    <row r="4" spans="2:12">
      <c r="B4" t="s">
        <v>16</v>
      </c>
      <c r="C4">
        <v>100</v>
      </c>
    </row>
    <row r="5" spans="2:12">
      <c r="B5" t="s">
        <v>17</v>
      </c>
      <c r="C5">
        <v>0.04</v>
      </c>
    </row>
    <row r="6" spans="2:12">
      <c r="B6" t="s">
        <v>2</v>
      </c>
      <c r="C6">
        <f>LogVolatility(COUNT(Volatility!B3:B254)-1,Volatility!C3:C254)</f>
        <v>1.4454508434150347E-2</v>
      </c>
    </row>
    <row r="8" spans="2:12">
      <c r="B8" s="3" t="s">
        <v>18</v>
      </c>
      <c r="L8" t="s">
        <v>20</v>
      </c>
    </row>
    <row r="9" spans="2:12">
      <c r="B9" t="s">
        <v>19</v>
      </c>
      <c r="C9" t="s">
        <v>21</v>
      </c>
      <c r="L9" t="s">
        <v>21</v>
      </c>
    </row>
    <row r="10" spans="2:12">
      <c r="B10" t="s">
        <v>24</v>
      </c>
      <c r="C10" t="s">
        <v>23</v>
      </c>
      <c r="L10" t="s">
        <v>22</v>
      </c>
    </row>
    <row r="11" spans="2:12">
      <c r="B11" t="s">
        <v>26</v>
      </c>
      <c r="C11">
        <v>95</v>
      </c>
      <c r="L11" t="s">
        <v>23</v>
      </c>
    </row>
    <row r="12" spans="2:12">
      <c r="B12" t="s">
        <v>27</v>
      </c>
      <c r="C12">
        <v>0.5</v>
      </c>
      <c r="L12" t="s">
        <v>25</v>
      </c>
    </row>
    <row r="13" spans="2:12">
      <c r="B13" t="s">
        <v>28</v>
      </c>
    </row>
    <row r="15" spans="2:12">
      <c r="B15" t="s">
        <v>34</v>
      </c>
      <c r="C15">
        <v>10</v>
      </c>
    </row>
    <row r="16" spans="2:12">
      <c r="B16" t="s">
        <v>35</v>
      </c>
      <c r="C16">
        <v>200</v>
      </c>
    </row>
    <row r="18" spans="2:3">
      <c r="B18" t="s">
        <v>29</v>
      </c>
      <c r="C18">
        <v>0.08</v>
      </c>
    </row>
    <row r="20" spans="2:3">
      <c r="C20">
        <v>-1.3278825520914616E-2</v>
      </c>
    </row>
    <row r="21" spans="2:3">
      <c r="C21">
        <v>0.99999518344616334</v>
      </c>
    </row>
    <row r="22" spans="2:3">
      <c r="C22">
        <v>1.3288458628587897E-2</v>
      </c>
    </row>
    <row r="41" spans="2:13">
      <c r="B41">
        <v>10000.000000000009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</row>
    <row r="42" spans="2:13">
      <c r="B42">
        <v>9437.8782777753931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</row>
    <row r="43" spans="2:13">
      <c r="B43">
        <v>8907.3546386104372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</row>
    <row r="44" spans="2:13">
      <c r="B44">
        <v>8406.6528856183249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</row>
    <row r="45" spans="2:13">
      <c r="B45">
        <v>7934.096665797495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</row>
    <row r="46" spans="2:13">
      <c r="B46">
        <v>7488.1038575900275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</row>
    <row r="47" spans="2:13">
      <c r="B47">
        <v>7067.1812739274983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</row>
    <row r="48" spans="2:13">
      <c r="B48">
        <v>6669.9196630301185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</row>
    <row r="49" spans="2:13">
      <c r="B49">
        <v>6294.9889902218865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</row>
    <row r="50" spans="2:13">
      <c r="B50">
        <v>5941.1339849650349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</row>
    <row r="51" spans="2:13">
      <c r="B51">
        <v>5607.1699382054603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</row>
    <row r="52" spans="2:13">
      <c r="B52">
        <v>5291.9787359584461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</row>
    <row r="53" spans="2:13">
      <c r="B53">
        <v>4994.505115855146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</row>
    <row r="54" spans="2:13">
      <c r="B54">
        <v>4713.7531341167223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</row>
    <row r="55" spans="2:13">
      <c r="B55">
        <v>4448.7828311275853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</row>
    <row r="56" spans="2:13">
      <c r="B56">
        <v>4198.7070844439113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</row>
    <row r="57" spans="2:13">
      <c r="B57">
        <v>3962.6886387014806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</row>
    <row r="58" spans="2:13">
      <c r="B58">
        <v>3739.937302478801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</row>
    <row r="59" spans="2:13">
      <c r="B59">
        <v>3529.7073027306546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</row>
    <row r="60" spans="2:13">
      <c r="B60">
        <v>3331.2947879346725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</row>
    <row r="61" spans="2:13">
      <c r="B61">
        <v>3144.0354715915005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</row>
    <row r="62" spans="2:13">
      <c r="B62">
        <v>2967.3024081888707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</row>
    <row r="63" spans="2:13">
      <c r="B63">
        <v>2800.5038941836328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</row>
    <row r="64" spans="2:13">
      <c r="B64">
        <v>2643.0814869741084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</row>
    <row r="65" spans="2:13">
      <c r="B65">
        <v>2494.5081352303155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</row>
    <row r="66" spans="2:13">
      <c r="B66">
        <v>2354.2864143224174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</row>
    <row r="67" spans="2:13">
      <c r="B67">
        <v>2221.9468609395244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</row>
    <row r="68" spans="2:13">
      <c r="B68">
        <v>2097.046401323234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</row>
    <row r="69" spans="2:13">
      <c r="B69">
        <v>1979.1668678535589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</row>
    <row r="70" spans="2:13">
      <c r="B70">
        <v>1867.9135990207849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</row>
    <row r="71" spans="2:13">
      <c r="B71">
        <v>1762.9141180959473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</row>
    <row r="72" spans="2:13">
      <c r="B72">
        <v>1663.8168860761291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</row>
    <row r="73" spans="2:13">
      <c r="B73">
        <v>1570.290124729378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</row>
    <row r="74" spans="2:13">
      <c r="B74">
        <v>1482.0207057988596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</row>
    <row r="75" spans="2:13">
      <c r="B75">
        <v>1398.71310264724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</row>
    <row r="76" spans="2:13">
      <c r="B76">
        <v>1320.0884008314174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</row>
    <row r="77" spans="2:13">
      <c r="B77">
        <v>1245.8833642950078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</row>
    <row r="78" spans="2:13">
      <c r="B78">
        <v>1175.8495540521571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</row>
    <row r="79" spans="2:13">
      <c r="B79">
        <v>1109.7524964120726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</row>
    <row r="80" spans="2:13">
      <c r="B80">
        <v>1047.3708979594505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</row>
    <row r="81" spans="2:13">
      <c r="B81">
        <v>988.49590466255961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</row>
    <row r="82" spans="2:13">
      <c r="B82">
        <v>932.93040262846819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</row>
    <row r="83" spans="2:13">
      <c r="B83">
        <v>880.48835816434632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</row>
    <row r="84" spans="2:13">
      <c r="B84">
        <v>830.99419493533969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</row>
    <row r="85" spans="2:13">
      <c r="B85">
        <v>784.28220613376857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</row>
    <row r="86" spans="2:13">
      <c r="B86">
        <v>740.19599969156513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</row>
    <row r="87" spans="2:13">
      <c r="B87">
        <v>698.58797467852446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</row>
    <row r="88" spans="2:13">
      <c r="B88">
        <v>659.3188271333546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</row>
    <row r="89" spans="2:13">
      <c r="B89">
        <v>622.25708367302309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</row>
    <row r="90" spans="2:13">
      <c r="B90">
        <v>587.27866131894848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</row>
    <row r="91" spans="2:13">
      <c r="B91">
        <v>554.2664520663111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</row>
    <row r="92" spans="2:13">
      <c r="B92">
        <v>523.10993080562685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</row>
    <row r="93" spans="2:13">
      <c r="B93">
        <v>493.70478528390015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</row>
    <row r="94" spans="2:13">
      <c r="B94">
        <v>465.95256686646815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</row>
    <row r="95" spans="2:13">
      <c r="B95">
        <v>439.76036093027216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</row>
    <row r="96" spans="2:13">
      <c r="B96">
        <v>415.04047578504787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</row>
    <row r="97" spans="2:13">
      <c r="B97">
        <v>391.71014908092639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</row>
    <row r="98" spans="2:13">
      <c r="B98">
        <v>369.69127071950322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</row>
    <row r="99" spans="2:13">
      <c r="B99">
        <v>348.91012134067722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</row>
    <row r="100" spans="2:13">
      <c r="B100">
        <v>329.2971255097151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</row>
    <row r="101" spans="2:13">
      <c r="B101">
        <v>310.78661877820144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</row>
    <row r="102" spans="2:13">
      <c r="B102">
        <v>293.3166278390047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</row>
    <row r="103" spans="2:13">
      <c r="B103">
        <v>276.82866303920639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</row>
    <row r="104" spans="2:13">
      <c r="B104">
        <v>261.26752255633278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</row>
    <row r="105" spans="2:13">
      <c r="B105">
        <v>246.58110758226033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</row>
    <row r="106" spans="2:13">
      <c r="B106">
        <v>232.72024789604097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</row>
    <row r="107" spans="2:13">
      <c r="B107">
        <v>219.63853724165477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</row>
    <row r="108" spans="2:13">
      <c r="B108">
        <v>207.29217795953696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</row>
    <row r="109" spans="2:13">
      <c r="B109">
        <v>195.63983435170633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</row>
    <row r="110" spans="2:13">
      <c r="B110">
        <v>184.64249428955435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</row>
    <row r="111" spans="2:13">
      <c r="B111">
        <v>174.26333860096506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</row>
    <row r="112" spans="2:13">
      <c r="B112">
        <v>164.46761779946647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</row>
    <row r="113" spans="2:13">
      <c r="B113">
        <v>155.22253574270488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</row>
    <row r="114" spans="2:13">
      <c r="B114">
        <v>146.49713983072849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</row>
    <row r="115" spans="2:13">
      <c r="B115">
        <v>138.26221737646554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</row>
    <row r="116" spans="2:13">
      <c r="B116">
        <v>130.49019780144025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</row>
    <row r="117" spans="2:13">
      <c r="B117">
        <v>123.15506032928261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</row>
    <row r="118" spans="2:13">
      <c r="B118">
        <v>116.23224686798534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</row>
    <row r="119" spans="2:13">
      <c r="B119">
        <v>109.69857978923828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</row>
    <row r="120" spans="2:13">
      <c r="B120">
        <v>103.53218432956618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</row>
    <row r="121" spans="2:13">
      <c r="B121">
        <v>97.712415353464962</v>
      </c>
      <c r="D121">
        <v>3.6436161908054987E-2</v>
      </c>
      <c r="E121">
        <v>3.6492341405722155E-2</v>
      </c>
      <c r="F121">
        <v>3.6548607524366748E-2</v>
      </c>
      <c r="G121">
        <v>3.6604960397546273E-2</v>
      </c>
      <c r="H121">
        <v>3.6661400159024173E-2</v>
      </c>
      <c r="I121">
        <v>3.6717926942770117E-2</v>
      </c>
      <c r="J121">
        <v>3.6774540882960352E-2</v>
      </c>
      <c r="K121">
        <v>3.6831242113978008E-2</v>
      </c>
      <c r="L121">
        <v>3.6888030770413409E-2</v>
      </c>
      <c r="M121">
        <v>0</v>
      </c>
    </row>
    <row r="122" spans="2:13">
      <c r="B122">
        <v>92.219788233343294</v>
      </c>
      <c r="D122">
        <v>2.8424301756289845</v>
      </c>
      <c r="E122">
        <v>2.8472973856796417</v>
      </c>
      <c r="F122">
        <v>2.8521728474433097</v>
      </c>
      <c r="G122">
        <v>2.8570565747949876</v>
      </c>
      <c r="H122">
        <v>2.8619485816328427</v>
      </c>
      <c r="I122">
        <v>2.8668488818782518</v>
      </c>
      <c r="J122">
        <v>2.8717574894758373</v>
      </c>
      <c r="K122">
        <v>2.8766744183935073</v>
      </c>
      <c r="L122">
        <v>2.8815996826224928</v>
      </c>
      <c r="M122">
        <v>2.7802117666567057</v>
      </c>
    </row>
    <row r="123" spans="2:13">
      <c r="B123">
        <v>87.035913614851665</v>
      </c>
      <c r="D123">
        <v>7.6843145397488337</v>
      </c>
      <c r="E123">
        <v>7.733971632082004</v>
      </c>
      <c r="F123">
        <v>7.7837700294679975</v>
      </c>
      <c r="G123">
        <v>7.8337100595373972</v>
      </c>
      <c r="H123">
        <v>7.8837920506104968</v>
      </c>
      <c r="I123">
        <v>7.9340163316986763</v>
      </c>
      <c r="J123">
        <v>7.9843832325057758</v>
      </c>
      <c r="K123">
        <v>8.0348930834294698</v>
      </c>
      <c r="L123">
        <v>8.0855462155626459</v>
      </c>
      <c r="M123">
        <v>7.9640863851483346</v>
      </c>
    </row>
    <row r="124" spans="2:13">
      <c r="B124">
        <v>82.143435849194333</v>
      </c>
      <c r="D124">
        <v>11.969866147484817</v>
      </c>
      <c r="E124">
        <v>12.091020572019524</v>
      </c>
      <c r="F124">
        <v>12.213023067253637</v>
      </c>
      <c r="G124">
        <v>12.335876821519058</v>
      </c>
      <c r="H124">
        <v>12.459585032423382</v>
      </c>
      <c r="I124">
        <v>12.584150906873376</v>
      </c>
      <c r="J124">
        <v>12.709577661098511</v>
      </c>
      <c r="K124">
        <v>12.835868520674552</v>
      </c>
      <c r="L124">
        <v>12.963026720547202</v>
      </c>
      <c r="M124">
        <v>12.856564150805667</v>
      </c>
    </row>
    <row r="125" spans="2:13">
      <c r="B125">
        <v>77.525974886294563</v>
      </c>
      <c r="D125">
        <v>16.030000332846388</v>
      </c>
      <c r="E125">
        <v>16.215271691336405</v>
      </c>
      <c r="F125">
        <v>16.402448770162131</v>
      </c>
      <c r="G125">
        <v>16.591545811454054</v>
      </c>
      <c r="H125">
        <v>16.782577121762731</v>
      </c>
      <c r="I125">
        <v>16.975557072281589</v>
      </c>
      <c r="J125">
        <v>17.170500099070395</v>
      </c>
      <c r="K125">
        <v>17.367420703279375</v>
      </c>
      <c r="L125">
        <v>17.566333451374003</v>
      </c>
      <c r="M125">
        <v>17.474025113705437</v>
      </c>
    </row>
    <row r="126" spans="2:13">
      <c r="B126">
        <v>73.168071434271937</v>
      </c>
      <c r="D126">
        <v>19.86141980838163</v>
      </c>
      <c r="E126">
        <v>20.107364158000717</v>
      </c>
      <c r="F126">
        <v>20.356173223367723</v>
      </c>
      <c r="G126">
        <v>20.607876916445569</v>
      </c>
      <c r="H126">
        <v>20.862505385292383</v>
      </c>
      <c r="I126">
        <v>21.120089015283895</v>
      </c>
      <c r="J126">
        <v>21.380658430340702</v>
      </c>
      <c r="K126">
        <v>21.6442444941604</v>
      </c>
      <c r="L126">
        <v>21.910878311454606</v>
      </c>
      <c r="M126">
        <v>21.831928565728063</v>
      </c>
    </row>
    <row r="127" spans="2:13">
      <c r="B127">
        <v>69.055135201623273</v>
      </c>
      <c r="D127">
        <v>23.477476619774219</v>
      </c>
      <c r="E127">
        <v>23.780679092135692</v>
      </c>
      <c r="F127">
        <v>24.087652968650133</v>
      </c>
      <c r="G127">
        <v>24.39844250174005</v>
      </c>
      <c r="H127">
        <v>24.713092412391756</v>
      </c>
      <c r="I127">
        <v>25.031647894029163</v>
      </c>
      <c r="J127">
        <v>25.354154616409819</v>
      </c>
      <c r="K127">
        <v>25.680658729543307</v>
      </c>
      <c r="L127">
        <v>26.011206867632158</v>
      </c>
      <c r="M127">
        <v>25.944864798376727</v>
      </c>
    </row>
    <row r="128" spans="2:13">
      <c r="B128">
        <v>65.173396048824259</v>
      </c>
      <c r="D128">
        <v>26.89026689284918</v>
      </c>
      <c r="E128">
        <v>27.247508956526438</v>
      </c>
      <c r="F128">
        <v>27.609378109994729</v>
      </c>
      <c r="G128">
        <v>27.975932155265383</v>
      </c>
      <c r="H128">
        <v>28.347229577317432</v>
      </c>
      <c r="I128">
        <v>28.723329551424097</v>
      </c>
      <c r="J128">
        <v>29.104291950542315</v>
      </c>
      <c r="K128">
        <v>29.49017735276567</v>
      </c>
      <c r="L128">
        <v>29.881047048841175</v>
      </c>
      <c r="M128">
        <v>29.826603951175741</v>
      </c>
    </row>
    <row r="129" spans="2:13">
      <c r="B129">
        <v>61.509857885805054</v>
      </c>
      <c r="D129">
        <v>30.111216812490387</v>
      </c>
      <c r="E129">
        <v>30.519460783900644</v>
      </c>
      <c r="F129">
        <v>30.933139431270888</v>
      </c>
      <c r="G129">
        <v>31.352323344276588</v>
      </c>
      <c r="H129">
        <v>31.777083998048262</v>
      </c>
      <c r="I129">
        <v>32.207493763703049</v>
      </c>
      <c r="J129">
        <v>32.643625918990672</v>
      </c>
      <c r="K129">
        <v>33.085554659054786</v>
      </c>
      <c r="L129">
        <v>33.533355107310669</v>
      </c>
      <c r="M129">
        <v>33.490142114194946</v>
      </c>
    </row>
    <row r="130" spans="2:13">
      <c r="B130">
        <v>58.052255160949045</v>
      </c>
      <c r="D130">
        <v>33.151110140522199</v>
      </c>
      <c r="E130">
        <v>33.607489091649413</v>
      </c>
      <c r="F130">
        <v>34.070064908728924</v>
      </c>
      <c r="G130">
        <v>34.53892025028069</v>
      </c>
      <c r="H130">
        <v>35.014138851382995</v>
      </c>
      <c r="I130">
        <v>35.495805537230034</v>
      </c>
      <c r="J130">
        <v>35.984006236851812</v>
      </c>
      <c r="K130">
        <v>36.478827996998049</v>
      </c>
      <c r="L130">
        <v>36.980358996187988</v>
      </c>
      <c r="M130">
        <v>36.947744839050955</v>
      </c>
    </row>
    <row r="131" spans="2:13">
      <c r="B131">
        <v>54.789011795939395</v>
      </c>
      <c r="D131">
        <v>36.020124461260913</v>
      </c>
      <c r="E131">
        <v>36.521932620335292</v>
      </c>
      <c r="F131">
        <v>37.030656990999169</v>
      </c>
      <c r="G131">
        <v>37.546391622201043</v>
      </c>
      <c r="H131">
        <v>38.069231819808635</v>
      </c>
      <c r="I131">
        <v>38.599274163022486</v>
      </c>
      <c r="J131">
        <v>39.136616520996917</v>
      </c>
      <c r="K131">
        <v>39.681358069671056</v>
      </c>
      <c r="L131">
        <v>40.233599308812352</v>
      </c>
      <c r="M131">
        <v>40.210988204060605</v>
      </c>
    </row>
    <row r="132" spans="2:13">
      <c r="B132">
        <v>51.709202428967593</v>
      </c>
      <c r="D132">
        <v>38.727865254893381</v>
      </c>
      <c r="E132">
        <v>39.272548947453878</v>
      </c>
      <c r="F132">
        <v>39.824827761260231</v>
      </c>
      <c r="G132">
        <v>40.384806495408718</v>
      </c>
      <c r="H132">
        <v>40.952591376137342</v>
      </c>
      <c r="I132">
        <v>41.528290075934727</v>
      </c>
      <c r="J132">
        <v>42.112011732899212</v>
      </c>
      <c r="K132">
        <v>42.703866970351214</v>
      </c>
      <c r="L132">
        <v>43.303967916702277</v>
      </c>
      <c r="M132">
        <v>43.290797571032407</v>
      </c>
    </row>
    <row r="133" spans="2:13">
      <c r="B133">
        <v>48.802515836544295</v>
      </c>
      <c r="D133">
        <v>41.283398056700506</v>
      </c>
      <c r="E133">
        <v>41.868547155874658</v>
      </c>
      <c r="F133">
        <v>42.461932122964505</v>
      </c>
      <c r="G133">
        <v>43.063667902924948</v>
      </c>
      <c r="H133">
        <v>43.673871028506511</v>
      </c>
      <c r="I133">
        <v>44.292659641908116</v>
      </c>
      <c r="J133">
        <v>44.920153516720255</v>
      </c>
      <c r="K133">
        <v>45.556474080162502</v>
      </c>
      <c r="L133">
        <v>46.201744435619133</v>
      </c>
      <c r="M133">
        <v>46.197484163455705</v>
      </c>
    </row>
    <row r="134" spans="2:13">
      <c r="B134">
        <v>46.059220411451065</v>
      </c>
      <c r="D134">
        <v>43.695278808532272</v>
      </c>
      <c r="E134">
        <v>44.318618665914464</v>
      </c>
      <c r="F134">
        <v>44.950799120120024</v>
      </c>
      <c r="G134">
        <v>45.591944691641736</v>
      </c>
      <c r="H134">
        <v>46.242181640391195</v>
      </c>
      <c r="I134">
        <v>46.90163798975243</v>
      </c>
      <c r="J134">
        <v>47.570443550964008</v>
      </c>
      <c r="K134">
        <v>48.248729947834015</v>
      </c>
      <c r="L134">
        <v>48.936630641792384</v>
      </c>
      <c r="M134">
        <v>48.940779588548935</v>
      </c>
    </row>
    <row r="135" spans="2:13">
      <c r="B135">
        <v>43.470131581250257</v>
      </c>
      <c r="D135">
        <v>45.971582504162015</v>
      </c>
      <c r="E135">
        <v>46.630966334274554</v>
      </c>
      <c r="F135">
        <v>47.29976149699263</v>
      </c>
      <c r="G135">
        <v>47.978101550085128</v>
      </c>
      <c r="H135">
        <v>48.666121933839847</v>
      </c>
      <c r="I135">
        <v>49.363959997383063</v>
      </c>
      <c r="J135">
        <v>50.071755025363409</v>
      </c>
      <c r="K135">
        <v>50.789648265005063</v>
      </c>
      <c r="L135">
        <v>51.517782953535402</v>
      </c>
      <c r="M135">
        <v>51.529868418749743</v>
      </c>
    </row>
    <row r="136" spans="2:13">
      <c r="B136">
        <v>41.026581058271915</v>
      </c>
      <c r="D136">
        <v>48.119930224422426</v>
      </c>
      <c r="E136">
        <v>48.813331917262602</v>
      </c>
      <c r="F136">
        <v>49.516683596192415</v>
      </c>
      <c r="G136">
        <v>50.230127348251905</v>
      </c>
      <c r="H136">
        <v>50.95380727805621</v>
      </c>
      <c r="I136">
        <v>51.687869536253608</v>
      </c>
      <c r="J136">
        <v>52.43246234838184</v>
      </c>
      <c r="K136">
        <v>53.187736044128087</v>
      </c>
      <c r="L136">
        <v>53.95384308699834</v>
      </c>
      <c r="M136">
        <v>53.973418941728085</v>
      </c>
    </row>
    <row r="137" spans="2:13">
      <c r="B137">
        <v>38.720387818125559</v>
      </c>
      <c r="D137">
        <v>50.147514652637767</v>
      </c>
      <c r="E137">
        <v>50.873021990247302</v>
      </c>
      <c r="F137">
        <v>51.608987688548147</v>
      </c>
      <c r="G137">
        <v>52.355561884402661</v>
      </c>
      <c r="H137">
        <v>53.112896859712642</v>
      </c>
      <c r="I137">
        <v>53.881147071895718</v>
      </c>
      <c r="J137">
        <v>54.660469184791921</v>
      </c>
      <c r="K137">
        <v>55.451022100006448</v>
      </c>
      <c r="L137">
        <v>56.252966988694752</v>
      </c>
      <c r="M137">
        <v>56.279612181874441</v>
      </c>
    </row>
    <row r="138" spans="2:13">
      <c r="B138">
        <v>36.543830709572582</v>
      </c>
      <c r="D138">
        <v>52.061124155778721</v>
      </c>
      <c r="E138">
        <v>52.816932410124522</v>
      </c>
      <c r="F138">
        <v>53.583678822922643</v>
      </c>
      <c r="G138">
        <v>54.361521128359762</v>
      </c>
      <c r="H138">
        <v>55.150619325961294</v>
      </c>
      <c r="I138">
        <v>55.951135712972658</v>
      </c>
      <c r="J138">
        <v>56.763234917200883</v>
      </c>
      <c r="K138">
        <v>57.587083930323075</v>
      </c>
      <c r="L138">
        <v>58.42285214166823</v>
      </c>
      <c r="M138">
        <v>58.456169290427418</v>
      </c>
    </row>
    <row r="139" spans="2:13">
      <c r="B139">
        <v>34.489622604057573</v>
      </c>
      <c r="D139">
        <v>53.867165511962611</v>
      </c>
      <c r="E139">
        <v>54.651571402694607</v>
      </c>
      <c r="F139">
        <v>55.447368279165559</v>
      </c>
      <c r="G139">
        <v>56.254721045824354</v>
      </c>
      <c r="H139">
        <v>57.073796985995642</v>
      </c>
      <c r="I139">
        <v>57.904765796058889</v>
      </c>
      <c r="J139">
        <v>58.74779962011624</v>
      </c>
      <c r="K139">
        <v>59.603073085156161</v>
      </c>
      <c r="L139">
        <v>60.470763336719834</v>
      </c>
      <c r="M139">
        <v>60.510377395942427</v>
      </c>
    </row>
    <row r="140" spans="2:13">
      <c r="B140">
        <v>32.550885998350587</v>
      </c>
      <c r="D140">
        <v>55.57168536039174</v>
      </c>
      <c r="E140">
        <v>56.383081352248233</v>
      </c>
      <c r="F140">
        <v>57.206295702724894</v>
      </c>
      <c r="G140">
        <v>58.041500083476819</v>
      </c>
      <c r="H140">
        <v>58.8888686521897</v>
      </c>
      <c r="I140">
        <v>59.748578088455645</v>
      </c>
      <c r="J140">
        <v>60.620807630164649</v>
      </c>
      <c r="K140">
        <v>61.505739110419107</v>
      </c>
      <c r="L140">
        <v>62.403556994978857</v>
      </c>
      <c r="M140">
        <v>62.449114001649413</v>
      </c>
    </row>
    <row r="141" spans="2:13">
      <c r="B141">
        <v>30.721129988617591</v>
      </c>
      <c r="D141">
        <v>57.180390445544376</v>
      </c>
      <c r="E141">
        <v>58.017259366312651</v>
      </c>
      <c r="F141">
        <v>58.866349995024308</v>
      </c>
      <c r="G141">
        <v>59.727840390141282</v>
      </c>
      <c r="H141">
        <v>60.601911197287535</v>
      </c>
      <c r="I141">
        <v>61.48874568672629</v>
      </c>
      <c r="J141">
        <v>62.388529791378161</v>
      </c>
      <c r="K141">
        <v>63.301452145388147</v>
      </c>
      <c r="L141">
        <v>64.227704123249339</v>
      </c>
      <c r="M141">
        <v>64.278870011382409</v>
      </c>
    </row>
    <row r="142" spans="2:13">
      <c r="B142">
        <v>28.994228538828764</v>
      </c>
      <c r="D142">
        <v>58.698666723395277</v>
      </c>
      <c r="E142">
        <v>59.559576684408334</v>
      </c>
      <c r="F142">
        <v>60.433089029546366</v>
      </c>
      <c r="G142">
        <v>61.319387845061854</v>
      </c>
      <c r="H142">
        <v>62.218659899815947</v>
      </c>
      <c r="I142">
        <v>63.131094684267019</v>
      </c>
      <c r="J142">
        <v>64.056884450024086</v>
      </c>
      <c r="K142">
        <v>64.996224249973409</v>
      </c>
      <c r="L142">
        <v>65.949311978986387</v>
      </c>
      <c r="M142">
        <v>66.005771461171236</v>
      </c>
    </row>
    <row r="143" spans="2:13">
      <c r="B143">
        <v>27.36439997074671</v>
      </c>
      <c r="D143">
        <v>60.131597393634358</v>
      </c>
      <c r="E143">
        <v>61.015196995797552</v>
      </c>
      <c r="F143">
        <v>61.911758259632236</v>
      </c>
      <c r="G143">
        <v>62.821470960346232</v>
      </c>
      <c r="H143">
        <v>63.744527645837422</v>
      </c>
      <c r="I143">
        <v>64.681123677108644</v>
      </c>
      <c r="J143">
        <v>65.631457269270101</v>
      </c>
      <c r="K143">
        <v>66.595729533137899</v>
      </c>
      <c r="L143">
        <v>67.574144517437205</v>
      </c>
      <c r="M143">
        <v>67.635600029253283</v>
      </c>
    </row>
    <row r="144" spans="2:13">
      <c r="B144">
        <v>25.826187606826753</v>
      </c>
      <c r="D144">
        <v>61.483979918255173</v>
      </c>
      <c r="E144">
        <v>62.388993727552503</v>
      </c>
      <c r="F144">
        <v>63.30730828029651</v>
      </c>
      <c r="G144">
        <v>64.239118720861839</v>
      </c>
      <c r="H144">
        <v>65.18462305133086</v>
      </c>
      <c r="I144">
        <v>66.144022173254839</v>
      </c>
      <c r="J144">
        <v>67.117519930023846</v>
      </c>
      <c r="K144">
        <v>68.105323149854428</v>
      </c>
      <c r="L144">
        <v>69.107641689403977</v>
      </c>
      <c r="M144">
        <v>69.17381239317325</v>
      </c>
    </row>
    <row r="145" spans="2:13">
      <c r="B145">
        <v>24.374441501222204</v>
      </c>
      <c r="D145">
        <v>62.760342083491167</v>
      </c>
      <c r="E145">
        <v>63.685566360823216</v>
      </c>
      <c r="F145">
        <v>64.62441140285398</v>
      </c>
      <c r="G145">
        <v>65.577077421312396</v>
      </c>
      <c r="H145">
        <v>66.543767565873779</v>
      </c>
      <c r="I145">
        <v>67.524687967191582</v>
      </c>
      <c r="J145">
        <v>68.52004778055786</v>
      </c>
      <c r="K145">
        <v>69.530059230202113</v>
      </c>
      <c r="L145">
        <v>70.554937654237449</v>
      </c>
      <c r="M145">
        <v>70.625558498777792</v>
      </c>
    </row>
    <row r="146" spans="2:13">
      <c r="B146">
        <v>23.004301197729188</v>
      </c>
      <c r="D146">
        <v>63.96495715887685</v>
      </c>
      <c r="E146">
        <v>64.909255829933741</v>
      </c>
      <c r="F146">
        <v>65.867477297851664</v>
      </c>
      <c r="G146">
        <v>66.839826556866825</v>
      </c>
      <c r="H146">
        <v>67.826511614890137</v>
      </c>
      <c r="I146">
        <v>68.827743537737987</v>
      </c>
      <c r="J146">
        <v>69.843736494010912</v>
      </c>
      <c r="K146">
        <v>70.87470780062975</v>
      </c>
      <c r="L146">
        <v>71.920877969038855</v>
      </c>
      <c r="M146">
        <v>71.995698802270809</v>
      </c>
    </row>
    <row r="147" spans="2:13">
      <c r="B147">
        <v>21.711179456945036</v>
      </c>
      <c r="D147">
        <v>65.101858204183131</v>
      </c>
      <c r="E147">
        <v>66.064159055859761</v>
      </c>
      <c r="F147">
        <v>67.040667758675809</v>
      </c>
      <c r="G147">
        <v>68.031593820539669</v>
      </c>
      <c r="H147">
        <v>69.037149834505826</v>
      </c>
      <c r="I147">
        <v>70.057551524137395</v>
      </c>
      <c r="J147">
        <v>71.093017789534429</v>
      </c>
      <c r="K147">
        <v>72.143770754037874</v>
      </c>
      <c r="L147">
        <v>73.210035811619065</v>
      </c>
      <c r="M147">
        <v>73.288820543054968</v>
      </c>
    </row>
    <row r="148" spans="2:13">
      <c r="B148">
        <v>20.49074689815847</v>
      </c>
      <c r="D148">
        <v>66.17485157213072</v>
      </c>
      <c r="E148">
        <v>67.15414266274972</v>
      </c>
      <c r="F148">
        <v>68.147910635266328</v>
      </c>
      <c r="G148">
        <v>69.15636925753779</v>
      </c>
      <c r="H148">
        <v>70.179735450021312</v>
      </c>
      <c r="I148">
        <v>71.218229332204686</v>
      </c>
      <c r="J148">
        <v>72.272074269719596</v>
      </c>
      <c r="K148">
        <v>73.341496922147769</v>
      </c>
      <c r="L148">
        <v>74.426727291530156</v>
      </c>
      <c r="M148">
        <v>74.509253101841523</v>
      </c>
    </row>
    <row r="149" spans="2:13">
      <c r="B149">
        <v>19.338917504552317</v>
      </c>
      <c r="D149">
        <v>67.187529652085729</v>
      </c>
      <c r="E149">
        <v>68.182855923409576</v>
      </c>
      <c r="F149">
        <v>69.192912984585902</v>
      </c>
      <c r="G149">
        <v>70.217918623959832</v>
      </c>
      <c r="H149">
        <v>71.258093846138607</v>
      </c>
      <c r="I149">
        <v>72.3136629194302</v>
      </c>
      <c r="J149">
        <v>73.384853423980672</v>
      </c>
      <c r="K149">
        <v>74.471896300620614</v>
      </c>
      <c r="L149">
        <v>75.57502590043093</v>
      </c>
      <c r="M149">
        <v>75.661082495447687</v>
      </c>
    </row>
    <row r="150" spans="2:13">
      <c r="B150">
        <v>18.251834943190431</v>
      </c>
      <c r="D150">
        <v>68.143282897404333</v>
      </c>
      <c r="E150">
        <v>69.153742977093614</v>
      </c>
      <c r="F150">
        <v>70.179173481872596</v>
      </c>
      <c r="G150">
        <v>71.219795994573886</v>
      </c>
      <c r="H150">
        <v>72.275835374375788</v>
      </c>
      <c r="I150">
        <v>73.347519805192277</v>
      </c>
      <c r="J150">
        <v>74.43508084477682</v>
      </c>
      <c r="K150">
        <v>75.53875347455056</v>
      </c>
      <c r="L150">
        <v>76.658776150165366</v>
      </c>
      <c r="M150">
        <v>76.748165056809569</v>
      </c>
    </row>
    <row r="151" spans="2:13">
      <c r="B151">
        <v>17.225859653987868</v>
      </c>
      <c r="D151">
        <v>69.045311176694952</v>
      </c>
      <c r="E151">
        <v>70.070054360507456</v>
      </c>
      <c r="F151">
        <v>71.109994134229623</v>
      </c>
      <c r="G151">
        <v>72.165355661885201</v>
      </c>
      <c r="H151">
        <v>73.236367440549742</v>
      </c>
      <c r="I151">
        <v>74.323261349638514</v>
      </c>
      <c r="J151">
        <v>75.426272700922425</v>
      </c>
      <c r="K151">
        <v>76.545640289282758</v>
      </c>
      <c r="L151">
        <v>77.681606444215561</v>
      </c>
      <c r="M151">
        <v>77.774140346012132</v>
      </c>
    </row>
    <row r="152" spans="2:13">
      <c r="B152">
        <v>16.257556664437949</v>
      </c>
      <c r="D152">
        <v>69.896634487000583</v>
      </c>
      <c r="E152">
        <v>70.93485789062747</v>
      </c>
      <c r="F152">
        <v>71.988491335768174</v>
      </c>
      <c r="G152">
        <v>73.057763366331031</v>
      </c>
      <c r="H152">
        <v>74.14290591279476</v>
      </c>
      <c r="I152">
        <v>75.244154342343748</v>
      </c>
      <c r="J152">
        <v>76.361747509744887</v>
      </c>
      <c r="K152">
        <v>77.495927808976745</v>
      </c>
      <c r="L152">
        <v>78.646941225622285</v>
      </c>
      <c r="M152">
        <v>78.742443335562058</v>
      </c>
    </row>
    <row r="153" spans="2:13">
      <c r="B153">
        <v>15.343684089300121</v>
      </c>
      <c r="D153">
        <v>70.700103064770275</v>
      </c>
      <c r="E153">
        <v>71.751048935773724</v>
      </c>
      <c r="F153">
        <v>72.817606301316815</v>
      </c>
      <c r="G153">
        <v>73.900006895201841</v>
      </c>
      <c r="H153">
        <v>74.998485888311606</v>
      </c>
      <c r="I153">
        <v>76.113281939544549</v>
      </c>
      <c r="J153">
        <v>77.244637247504002</v>
      </c>
      <c r="K153">
        <v>78.392797602952768</v>
      </c>
      <c r="L153">
        <v>79.558012442044202</v>
      </c>
      <c r="M153">
        <v>79.656315910699874</v>
      </c>
    </row>
    <row r="154" spans="2:13">
      <c r="B154">
        <v>14.48118227674534</v>
      </c>
      <c r="D154">
        <v>71.458406928471035</v>
      </c>
      <c r="E154">
        <v>72.521360109323794</v>
      </c>
      <c r="F154">
        <v>73.600114913629838</v>
      </c>
      <c r="G154">
        <v>74.694906085774548</v>
      </c>
      <c r="H154">
        <v>75.805971854894651</v>
      </c>
      <c r="I154">
        <v>76.933553986568242</v>
      </c>
      <c r="J154">
        <v>78.077897835270818</v>
      </c>
      <c r="K154">
        <v>79.239252397608766</v>
      </c>
      <c r="L154">
        <v>80.417870366341731</v>
      </c>
      <c r="M154">
        <v>80.518817723254656</v>
      </c>
    </row>
    <row r="155" spans="2:13">
      <c r="B155">
        <v>13.667163564620072</v>
      </c>
      <c r="D155">
        <v>72.174084884788556</v>
      </c>
      <c r="E155">
        <v>73.248370418521432</v>
      </c>
      <c r="F155">
        <v>74.338637017061998</v>
      </c>
      <c r="G155">
        <v>75.44512226614728</v>
      </c>
      <c r="H155">
        <v>76.568067281256887</v>
      </c>
      <c r="I155">
        <v>77.70771676001533</v>
      </c>
      <c r="J155">
        <v>78.86431903537185</v>
      </c>
      <c r="K155">
        <v>80.038126129568994</v>
      </c>
      <c r="L155">
        <v>81.22939380891178</v>
      </c>
      <c r="M155">
        <v>81.332836435379932</v>
      </c>
    </row>
    <row r="156" spans="2:13">
      <c r="B156">
        <v>12.898902612533085</v>
      </c>
      <c r="D156">
        <v>72.849533028569738</v>
      </c>
      <c r="E156">
        <v>73.934513899010952</v>
      </c>
      <c r="F156">
        <v>75.035645188825953</v>
      </c>
      <c r="G156">
        <v>76.153167165384872</v>
      </c>
      <c r="H156">
        <v>77.287323668262545</v>
      </c>
      <c r="I156">
        <v>78.438362162313254</v>
      </c>
      <c r="J156">
        <v>79.606533791533479</v>
      </c>
      <c r="K156">
        <v>80.792093433724318</v>
      </c>
      <c r="L156">
        <v>81.995299755965533</v>
      </c>
      <c r="M156">
        <v>82.101097387466922</v>
      </c>
    </row>
    <row r="157" spans="2:13">
      <c r="B157">
        <v>12.173827277396617</v>
      </c>
      <c r="D157">
        <v>73.487012764965286</v>
      </c>
      <c r="E157">
        <v>74.58208776400582</v>
      </c>
      <c r="F157">
        <v>75.693473017198201</v>
      </c>
      <c r="G157">
        <v>76.821411322805233</v>
      </c>
      <c r="H157">
        <v>77.966149091369701</v>
      </c>
      <c r="I157">
        <v>79.127936399423604</v>
      </c>
      <c r="J157">
        <v>80.307027043995603</v>
      </c>
      <c r="K157">
        <v>81.503678597928271</v>
      </c>
      <c r="L157">
        <v>82.718152466017244</v>
      </c>
      <c r="M157">
        <v>82.826172722603388</v>
      </c>
    </row>
    <row r="158" spans="2:13">
      <c r="B158">
        <v>11.489510001873088</v>
      </c>
      <c r="D158">
        <v>74.088658380630264</v>
      </c>
      <c r="E158">
        <v>75.193260095374868</v>
      </c>
      <c r="F158">
        <v>76.31432291438928</v>
      </c>
      <c r="G158">
        <v>77.452092024562049</v>
      </c>
      <c r="H158">
        <v>78.606816262884166</v>
      </c>
      <c r="I158">
        <v>79.778748170757353</v>
      </c>
      <c r="J158">
        <v>80.968144049109711</v>
      </c>
      <c r="K158">
        <v>82.175264014331105</v>
      </c>
      <c r="L158">
        <v>83.400372055040094</v>
      </c>
      <c r="M158">
        <v>83.510489998126914</v>
      </c>
    </row>
    <row r="159" spans="2:13">
      <c r="B159">
        <v>10.843659686896103</v>
      </c>
      <c r="D159">
        <v>74.656484189330556</v>
      </c>
      <c r="E159">
        <v>75.770077102395334</v>
      </c>
      <c r="F159">
        <v>76.900273490235108</v>
      </c>
      <c r="G159">
        <v>78.047320794094276</v>
      </c>
      <c r="H159">
        <v>79.211470141016164</v>
      </c>
      <c r="I159">
        <v>80.392976398716456</v>
      </c>
      <c r="J159">
        <v>81.592098231273127</v>
      </c>
      <c r="K159">
        <v>82.809098155644989</v>
      </c>
      <c r="L159">
        <v>84.044242599031236</v>
      </c>
      <c r="M159">
        <v>84.156340313103897</v>
      </c>
    </row>
    <row r="160" spans="2:13">
      <c r="B160">
        <v>10.234114021054536</v>
      </c>
      <c r="D160">
        <v>75.192391275879871</v>
      </c>
      <c r="E160">
        <v>76.314469972476374</v>
      </c>
      <c r="F160">
        <v>77.453286511397678</v>
      </c>
      <c r="G160">
        <v>78.609090461521831</v>
      </c>
      <c r="H160">
        <v>79.782135111215652</v>
      </c>
      <c r="I160">
        <v>80.972677523741652</v>
      </c>
      <c r="J160">
        <v>82.180978593489854</v>
      </c>
      <c r="K160">
        <v>83.407303103046871</v>
      </c>
      <c r="L160">
        <v>84.651919781114586</v>
      </c>
      <c r="M160">
        <v>84.765885978945462</v>
      </c>
    </row>
    <row r="161" spans="2:13">
      <c r="B161">
        <v>9.6588322411587004</v>
      </c>
      <c r="D161">
        <v>75.698173860984781</v>
      </c>
      <c r="E161">
        <v>76.828261336787691</v>
      </c>
      <c r="F161">
        <v>77.975213469373372</v>
      </c>
      <c r="G161">
        <v>79.139281835654586</v>
      </c>
      <c r="H161">
        <v>80.320721763828956</v>
      </c>
      <c r="I161">
        <v>81.519792389289364</v>
      </c>
      <c r="J161">
        <v>82.736756711367221</v>
      </c>
      <c r="K161">
        <v>83.971881650921063</v>
      </c>
      <c r="L161">
        <v>85.22543810878301</v>
      </c>
      <c r="M161">
        <v>85.341167758841294</v>
      </c>
    </row>
    <row r="162" spans="2:13">
      <c r="B162">
        <v>9.1158882997508233</v>
      </c>
      <c r="D162">
        <v>76.175525308308693</v>
      </c>
      <c r="E162">
        <v>77.313171372441957</v>
      </c>
      <c r="F162">
        <v>78.467801779299791</v>
      </c>
      <c r="G162">
        <v>79.639670000953714</v>
      </c>
      <c r="H162">
        <v>80.82903329076882</v>
      </c>
      <c r="I162">
        <v>82.036152739789415</v>
      </c>
      <c r="J162">
        <v>83.261293333964971</v>
      </c>
      <c r="K162">
        <v>84.504724012229019</v>
      </c>
      <c r="L162">
        <v>85.766717725443783</v>
      </c>
      <c r="M162">
        <v>85.884111700249179</v>
      </c>
    </row>
    <row r="163" spans="2:13">
      <c r="B163">
        <v>8.603464416684508</v>
      </c>
      <c r="D163">
        <v>76.626043793865094</v>
      </c>
      <c r="E163">
        <v>77.770823561659725</v>
      </c>
      <c r="F163">
        <v>78.93270063031396</v>
      </c>
      <c r="G163">
        <v>80.111930260527046</v>
      </c>
      <c r="H163">
        <v>81.308771522613753</v>
      </c>
      <c r="I163">
        <v>82.523487353338382</v>
      </c>
      <c r="J163">
        <v>83.756344613596326</v>
      </c>
      <c r="K163">
        <v>85.00761414695576</v>
      </c>
      <c r="L163">
        <v>86.277570839072339</v>
      </c>
      <c r="M163">
        <v>86.396535583315497</v>
      </c>
    </row>
    <row r="164" spans="2:13">
      <c r="B164">
        <v>8.1198449931840102</v>
      </c>
      <c r="D164">
        <v>77.051237656721867</v>
      </c>
      <c r="E164">
        <v>78.202750127199067</v>
      </c>
      <c r="F164">
        <v>79.37146650704878</v>
      </c>
      <c r="G164">
        <v>80.55764374505533</v>
      </c>
      <c r="H164">
        <v>81.761542626348458</v>
      </c>
      <c r="I164">
        <v>82.983427829660513</v>
      </c>
      <c r="J164">
        <v>84.223567985438052</v>
      </c>
      <c r="K164">
        <v>85.482235734820236</v>
      </c>
      <c r="L164">
        <v>86.759707789497199</v>
      </c>
      <c r="M164">
        <v>86.880155006815983</v>
      </c>
    </row>
    <row r="165" spans="2:13">
      <c r="B165">
        <v>7.6634108680074586</v>
      </c>
      <c r="D165">
        <v>77.452530448931839</v>
      </c>
      <c r="E165">
        <v>78.610397162248901</v>
      </c>
      <c r="F165">
        <v>79.785568400755281</v>
      </c>
      <c r="G165">
        <v>80.978302706429474</v>
      </c>
      <c r="H165">
        <v>82.188862482822685</v>
      </c>
      <c r="I165">
        <v>83.417514052715561</v>
      </c>
      <c r="J165">
        <v>84.664527716635462</v>
      </c>
      <c r="K165">
        <v>85.93017781224718</v>
      </c>
      <c r="L165">
        <v>87.214742774629983</v>
      </c>
      <c r="M165">
        <v>87.33658913199254</v>
      </c>
    </row>
    <row r="166" spans="2:13">
      <c r="B166">
        <v>7.2326338964835397</v>
      </c>
      <c r="D166">
        <v>77.831265701594432</v>
      </c>
      <c r="E166">
        <v>78.995129471958506</v>
      </c>
      <c r="F166">
        <v>80.176392727495085</v>
      </c>
      <c r="G166">
        <v>81.375315513819913</v>
      </c>
      <c r="H166">
        <v>82.592161761930683</v>
      </c>
      <c r="I166">
        <v>83.827199346240803</v>
      </c>
      <c r="J166">
        <v>85.080700143479604</v>
      </c>
      <c r="K166">
        <v>86.352940092472096</v>
      </c>
      <c r="L166">
        <v>87.644199254811227</v>
      </c>
      <c r="M166">
        <v>87.767366103516466</v>
      </c>
    </row>
    <row r="167" spans="2:13">
      <c r="B167">
        <v>6.8260718342723878</v>
      </c>
      <c r="D167">
        <v>78.188711423007661</v>
      </c>
      <c r="E167">
        <v>79.358235142815175</v>
      </c>
      <c r="F167">
        <v>80.545247969871454</v>
      </c>
      <c r="G167">
        <v>81.750011368906797</v>
      </c>
      <c r="H167">
        <v>82.972790712504306</v>
      </c>
      <c r="I167">
        <v>84.213855339489442</v>
      </c>
      <c r="J167">
        <v>85.473478614191791</v>
      </c>
      <c r="K167">
        <v>86.751937986591884</v>
      </c>
      <c r="L167">
        <v>88.049515053366477</v>
      </c>
      <c r="M167">
        <v>88.173928165727617</v>
      </c>
    </row>
    <row r="168" spans="2:13">
      <c r="B168">
        <v>6.4423635087213746</v>
      </c>
      <c r="D168">
        <v>78.526064343968656</v>
      </c>
      <c r="E168">
        <v>79.700929855166734</v>
      </c>
      <c r="F168">
        <v>80.893369057838242</v>
      </c>
      <c r="G168">
        <v>82.103644756056511</v>
      </c>
      <c r="H168">
        <v>83.332023682955409</v>
      </c>
      <c r="I168">
        <v>84.578776559454724</v>
      </c>
      <c r="J168">
        <v>85.844178153863012</v>
      </c>
      <c r="K168">
        <v>87.128507342370995</v>
      </c>
      <c r="L168">
        <v>88.432047170448854</v>
      </c>
      <c r="M168">
        <v>88.557636491278629</v>
      </c>
    </row>
    <row r="169" spans="2:13">
      <c r="B169">
        <v>6.0802242616494269</v>
      </c>
      <c r="D169">
        <v>78.844453924436849</v>
      </c>
      <c r="E169">
        <v>80.024360953327857</v>
      </c>
      <c r="F169">
        <v>81.221921503253967</v>
      </c>
      <c r="G169">
        <v>82.437399642344147</v>
      </c>
      <c r="H169">
        <v>83.671063387803514</v>
      </c>
      <c r="I169">
        <v>84.923184764955664</v>
      </c>
      <c r="J169">
        <v>86.194039867167433</v>
      </c>
      <c r="K169">
        <v>87.483908916669336</v>
      </c>
      <c r="L169">
        <v>88.793076326285174</v>
      </c>
      <c r="M169">
        <v>88.91977573835058</v>
      </c>
    </row>
    <row r="170" spans="2:13">
      <c r="B170">
        <v>5.7384416483023948</v>
      </c>
      <c r="D170">
        <v>79.14494613497385</v>
      </c>
      <c r="E170">
        <v>80.329611286896977</v>
      </c>
      <c r="F170">
        <v>81.532005302023819</v>
      </c>
      <c r="G170">
        <v>82.752393441483662</v>
      </c>
      <c r="H170">
        <v>83.991044934372439</v>
      </c>
      <c r="I170">
        <v>85.248233037094167</v>
      </c>
      <c r="J170">
        <v>86.524235093589539</v>
      </c>
      <c r="K170">
        <v>87.819332596465088</v>
      </c>
      <c r="L170">
        <v>89.133811249036285</v>
      </c>
      <c r="M170">
        <v>89.261558351697602</v>
      </c>
    </row>
    <row r="171" spans="2:13">
      <c r="B171">
        <v>5.4158713780794745</v>
      </c>
      <c r="D171">
        <v>79.428547025620702</v>
      </c>
      <c r="E171">
        <v>80.61770283614463</v>
      </c>
      <c r="F171">
        <v>81.824658616893885</v>
      </c>
      <c r="G171">
        <v>83.049680754936972</v>
      </c>
      <c r="H171">
        <v>84.293039623137645</v>
      </c>
      <c r="I171">
        <v>85.555009639778618</v>
      </c>
      <c r="J171">
        <v>86.835869329076985</v>
      </c>
      <c r="K171">
        <v>88.135901382604672</v>
      </c>
      <c r="L171">
        <v>89.455392721627504</v>
      </c>
      <c r="M171">
        <v>89.584128621920527</v>
      </c>
    </row>
    <row r="172" spans="2:13">
      <c r="B172">
        <v>5.1114334834401687</v>
      </c>
      <c r="D172">
        <v>79.696206094160047</v>
      </c>
      <c r="E172">
        <v>80.889600133610088</v>
      </c>
      <c r="F172">
        <v>82.100861253226981</v>
      </c>
      <c r="G172">
        <v>83.330256902726902</v>
      </c>
      <c r="H172">
        <v>84.578058534447734</v>
      </c>
      <c r="I172">
        <v>85.844541663239156</v>
      </c>
      <c r="J172">
        <v>87.129985927248796</v>
      </c>
      <c r="K172">
        <v>88.434675149617533</v>
      </c>
      <c r="L172">
        <v>89.758897401097883</v>
      </c>
      <c r="M172">
        <v>89.888566516559834</v>
      </c>
    </row>
    <row r="173" spans="2:13">
      <c r="B173">
        <v>4.8241087041653712</v>
      </c>
      <c r="D173">
        <v>79.948819465041765</v>
      </c>
      <c r="E173">
        <v>81.146213493363618</v>
      </c>
      <c r="F173">
        <v>82.361537939398218</v>
      </c>
      <c r="G173">
        <v>83.595061255775732</v>
      </c>
      <c r="H173">
        <v>84.847055913628566</v>
      </c>
      <c r="I173">
        <v>86.117798462733006</v>
      </c>
      <c r="J173">
        <v>87.407569592550686</v>
      </c>
      <c r="K173">
        <v>88.716654194183505</v>
      </c>
      <c r="L173">
        <v>90.045341423255536</v>
      </c>
      <c r="M173">
        <v>90.175891295834631</v>
      </c>
    </row>
    <row r="174" spans="2:13">
      <c r="B174">
        <v>4.5529350748669488</v>
      </c>
      <c r="D174">
        <v>80.187232889613824</v>
      </c>
      <c r="E174">
        <v>81.388402058744134</v>
      </c>
      <c r="F174">
        <v>82.60756142279206</v>
      </c>
      <c r="G174">
        <v>83.844980380925762</v>
      </c>
      <c r="H174">
        <v>85.100932365803544</v>
      </c>
      <c r="I174">
        <v>86.375694903952763</v>
      </c>
      <c r="J174">
        <v>87.669549677052487</v>
      </c>
      <c r="K174">
        <v>88.982782584133219</v>
      </c>
      <c r="L174">
        <v>90.315683804707589</v>
      </c>
      <c r="M174">
        <v>90.447064925133049</v>
      </c>
    </row>
    <row r="175" spans="2:13">
      <c r="B175">
        <v>4.2970047043208419</v>
      </c>
      <c r="D175">
        <v>80.412244577703603</v>
      </c>
      <c r="E175">
        <v>81.616976678777093</v>
      </c>
      <c r="F175">
        <v>82.839755391766516</v>
      </c>
      <c r="G175">
        <v>84.080851009171099</v>
      </c>
      <c r="H175">
        <v>85.340537871125562</v>
      </c>
      <c r="I175">
        <v>86.619094426003073</v>
      </c>
      <c r="J175">
        <v>87.916803291925405</v>
      </c>
      <c r="K175">
        <v>89.233951319193778</v>
      </c>
      <c r="L175">
        <v>90.570829653654414</v>
      </c>
      <c r="M175">
        <v>90.702995295679159</v>
      </c>
    </row>
    <row r="176" spans="2:13">
      <c r="B176">
        <v>4.0554607358408292</v>
      </c>
      <c r="D176">
        <v>80.624607870030431</v>
      </c>
      <c r="E176">
        <v>81.832702622903085</v>
      </c>
      <c r="F176">
        <v>83.058897233367986</v>
      </c>
      <c r="G176">
        <v>84.303462837039319</v>
      </c>
      <c r="H176">
        <v>85.566674630516999</v>
      </c>
      <c r="I176">
        <v>86.848811932201059</v>
      </c>
      <c r="J176">
        <v>88.150158244016467</v>
      </c>
      <c r="K176">
        <v>89.471001314062221</v>
      </c>
      <c r="L176">
        <v>90.811633200198401</v>
      </c>
      <c r="M176">
        <v>90.944539264159175</v>
      </c>
    </row>
    <row r="177" spans="2:13">
      <c r="B177">
        <v>3.8274944785163125</v>
      </c>
      <c r="D177">
        <v>80.825033760395328</v>
      </c>
      <c r="E177">
        <v>82.03630214310509</v>
      </c>
      <c r="F177">
        <v>83.265720636028277</v>
      </c>
      <c r="G177">
        <v>84.513561170500708</v>
      </c>
      <c r="H177">
        <v>85.780099751443743</v>
      </c>
      <c r="I177">
        <v>87.065616518378164</v>
      </c>
      <c r="J177">
        <v>88.370395807351656</v>
      </c>
      <c r="K177">
        <v>89.694726213793814</v>
      </c>
      <c r="L177">
        <v>91.038900656312279</v>
      </c>
      <c r="M177">
        <v>91.172505521483686</v>
      </c>
    </row>
    <row r="178" spans="2:13">
      <c r="B178">
        <v>3.612342699709433</v>
      </c>
      <c r="D178">
        <v>81.014193276093124</v>
      </c>
      <c r="E178">
        <v>82.228456892013014</v>
      </c>
      <c r="F178">
        <v>83.460918045958522</v>
      </c>
      <c r="G178">
        <v>84.711849420257849</v>
      </c>
      <c r="H178">
        <v>85.981527782716284</v>
      </c>
      <c r="I178">
        <v>87.270234047818391</v>
      </c>
      <c r="J178">
        <v>88.578253338846736</v>
      </c>
      <c r="K178">
        <v>89.905875050931201</v>
      </c>
      <c r="L178">
        <v>91.253392915042511</v>
      </c>
      <c r="M178">
        <v>91.38765730029057</v>
      </c>
    </row>
    <row r="179" spans="2:13">
      <c r="B179">
        <v>3.4092850697468129</v>
      </c>
      <c r="D179">
        <v>81.192719724517062</v>
      </c>
      <c r="E179">
        <v>82.409810205082039</v>
      </c>
      <c r="F179">
        <v>83.645142985464446</v>
      </c>
      <c r="G179">
        <v>84.898991456769991</v>
      </c>
      <c r="H179">
        <v>86.171633106804563</v>
      </c>
      <c r="I179">
        <v>87.463349581454054</v>
      </c>
      <c r="J179">
        <v>88.774426746983735</v>
      </c>
      <c r="K179">
        <v>90.105154753270867</v>
      </c>
      <c r="L179">
        <v>91.455828097984622</v>
      </c>
      <c r="M179">
        <v>91.590714930253185</v>
      </c>
    </row>
    <row r="180" spans="2:13">
      <c r="B180">
        <v>3.2176417502507366</v>
      </c>
      <c r="D180">
        <v>81.36121081347585</v>
      </c>
      <c r="E180">
        <v>82.58096925448362</v>
      </c>
      <c r="F180">
        <v>83.81901224094311</v>
      </c>
      <c r="G180">
        <v>85.075613832895584</v>
      </c>
      <c r="H180">
        <v>86.351052197674704</v>
      </c>
      <c r="I180">
        <v>87.645609671454068</v>
      </c>
      <c r="J180">
        <v>88.959572821716989</v>
      </c>
      <c r="K180">
        <v>90.293232510662136</v>
      </c>
      <c r="L180">
        <v>91.64688395955929</v>
      </c>
      <c r="M180">
        <v>91.782358249749265</v>
      </c>
    </row>
    <row r="181" spans="2:13">
      <c r="B181">
        <v>3.0367711180354582</v>
      </c>
      <c r="D181">
        <v>81.520230652324202</v>
      </c>
      <c r="E181">
        <v>82.742507081922867</v>
      </c>
      <c r="F181">
        <v>83.983107927888682</v>
      </c>
      <c r="G181">
        <v>85.242307881596133</v>
      </c>
      <c r="H181">
        <v>86.520385751708915</v>
      </c>
      <c r="I181">
        <v>87.81762452588579</v>
      </c>
      <c r="J181">
        <v>89.134311433411085</v>
      </c>
      <c r="K181">
        <v>90.47073800876376</v>
      </c>
      <c r="L181">
        <v>91.827200156139028</v>
      </c>
      <c r="M181">
        <v>91.96322888196454</v>
      </c>
    </row>
    <row r="182" spans="2:13">
      <c r="B182">
        <v>2.8660676169482517</v>
      </c>
      <c r="D182">
        <v>81.67031164060441</v>
      </c>
      <c r="E182">
        <v>82.894964517185656</v>
      </c>
      <c r="F182">
        <v>84.137979439818693</v>
      </c>
      <c r="G182">
        <v>85.399631695722647</v>
      </c>
      <c r="H182">
        <v>86.680200698840707</v>
      </c>
      <c r="I182">
        <v>87.979970051695375</v>
      </c>
      <c r="J182">
        <v>89.299227608170725</v>
      </c>
      <c r="K182">
        <v>90.638265537235654</v>
      </c>
      <c r="L182">
        <v>91.99738038762213</v>
      </c>
      <c r="M182">
        <v>92.133932383051743</v>
      </c>
    </row>
    <row r="183" spans="2:13">
      <c r="B183">
        <v>2.7049597304631354</v>
      </c>
      <c r="D183">
        <v>81.811956250524062</v>
      </c>
      <c r="E183">
        <v>83.038851988840833</v>
      </c>
      <c r="F183">
        <v>84.284145287647732</v>
      </c>
      <c r="G183">
        <v>85.548111996514791</v>
      </c>
      <c r="H183">
        <v>86.831032100640613</v>
      </c>
      <c r="I183">
        <v>88.133189782848589</v>
      </c>
      <c r="J183">
        <v>89.454873486512483</v>
      </c>
      <c r="K183">
        <v>90.796375979425079</v>
      </c>
      <c r="L183">
        <v>92.157994418624241</v>
      </c>
      <c r="M183">
        <v>92.295040269536869</v>
      </c>
    </row>
    <row r="184" spans="2:13">
      <c r="B184">
        <v>2.5529080682395175</v>
      </c>
      <c r="D184">
        <v>81.945638709236505</v>
      </c>
      <c r="E184">
        <v>83.174651233158656</v>
      </c>
      <c r="F184">
        <v>84.422094835665547</v>
      </c>
      <c r="G184">
        <v>85.688245897067134</v>
      </c>
      <c r="H184">
        <v>86.973384941705945</v>
      </c>
      <c r="I184">
        <v>88.277796700086313</v>
      </c>
      <c r="J184">
        <v>89.601770171935172</v>
      </c>
      <c r="K184">
        <v>90.945598690207973</v>
      </c>
      <c r="L184">
        <v>92.309579986054317</v>
      </c>
      <c r="M184">
        <v>92.447091931760482</v>
      </c>
    </row>
    <row r="185" spans="2:13">
      <c r="B185">
        <v>2.4094035602395261</v>
      </c>
      <c r="D185">
        <v>82.071806586556747</v>
      </c>
      <c r="E185">
        <v>83.302816906967251</v>
      </c>
      <c r="F185">
        <v>84.552289939932194</v>
      </c>
      <c r="G185">
        <v>85.820502566667457</v>
      </c>
      <c r="H185">
        <v>87.107735820352985</v>
      </c>
      <c r="I185">
        <v>88.414274948387742</v>
      </c>
      <c r="J185">
        <v>89.740409475577977</v>
      </c>
      <c r="K185">
        <v>91.086433268272842</v>
      </c>
      <c r="L185">
        <v>92.452644599461564</v>
      </c>
      <c r="M185">
        <v>92.590596439760475</v>
      </c>
    </row>
    <row r="186" spans="2:13">
      <c r="B186">
        <v>2.2739657523579289</v>
      </c>
      <c r="D186">
        <v>82.190882293428047</v>
      </c>
      <c r="E186">
        <v>83.423778109846637</v>
      </c>
      <c r="F186">
        <v>84.675166494575237</v>
      </c>
      <c r="G186">
        <v>85.945324801578579</v>
      </c>
      <c r="H186">
        <v>87.234534544271241</v>
      </c>
      <c r="I186">
        <v>88.543081457891006</v>
      </c>
      <c r="J186">
        <v>89.871255562807605</v>
      </c>
      <c r="K186">
        <v>91.219351228780639</v>
      </c>
      <c r="L186">
        <v>92.587667240181034</v>
      </c>
      <c r="M186">
        <v>92.726034247642076</v>
      </c>
    </row>
    <row r="187" spans="2:13">
      <c r="B187">
        <v>2.1461411978584044</v>
      </c>
      <c r="D187">
        <v>82.303264496157269</v>
      </c>
      <c r="E187">
        <v>83.537939820757629</v>
      </c>
      <c r="F187">
        <v>84.791135891166661</v>
      </c>
      <c r="G187">
        <v>86.063130507523766</v>
      </c>
      <c r="H187">
        <v>87.354205636483073</v>
      </c>
      <c r="I187">
        <v>88.664647473698722</v>
      </c>
      <c r="J187">
        <v>89.994746507247257</v>
      </c>
      <c r="K187">
        <v>91.344797582000922</v>
      </c>
      <c r="L187">
        <v>92.715099964966441</v>
      </c>
      <c r="M187">
        <v>92.853858802141602</v>
      </c>
    </row>
    <row r="188" spans="2:13">
      <c r="B188">
        <v>2.0255019392306668</v>
      </c>
      <c r="D188">
        <v>82.409329451151891</v>
      </c>
      <c r="E188">
        <v>83.645684253913629</v>
      </c>
      <c r="F188">
        <v>84.900586396064313</v>
      </c>
      <c r="G188">
        <v>86.174314098837556</v>
      </c>
      <c r="H188">
        <v>87.467149756649434</v>
      </c>
      <c r="I188">
        <v>88.779379999689482</v>
      </c>
      <c r="J188">
        <v>90.111295757450193</v>
      </c>
      <c r="K188">
        <v>91.463192323209341</v>
      </c>
      <c r="L188">
        <v>92.835369419479449</v>
      </c>
      <c r="M188">
        <v>92.974498060769335</v>
      </c>
    </row>
    <row r="189" spans="2:13">
      <c r="B189">
        <v>1.9116440753857029</v>
      </c>
      <c r="D189">
        <v>82.509432264629609</v>
      </c>
      <c r="E189">
        <v>83.747372138437072</v>
      </c>
      <c r="F189">
        <v>85.00388445033083</v>
      </c>
      <c r="G189">
        <v>86.279247818968074</v>
      </c>
      <c r="H189">
        <v>87.573745042481463</v>
      </c>
      <c r="I189">
        <v>88.887663161169684</v>
      </c>
      <c r="J189">
        <v>90.221293521128246</v>
      </c>
      <c r="K189">
        <v>91.574931838834672</v>
      </c>
      <c r="L189">
        <v>92.948878266702252</v>
      </c>
      <c r="M189">
        <v>93.088355924614291</v>
      </c>
    </row>
    <row r="190" spans="2:13">
      <c r="B190">
        <v>1.8041864093920725</v>
      </c>
      <c r="D190">
        <v>82.603908081516167</v>
      </c>
      <c r="E190">
        <v>83.843343926082738</v>
      </c>
      <c r="F190">
        <v>85.101375896580677</v>
      </c>
      <c r="G190">
        <v>86.37828298675069</v>
      </c>
      <c r="H190">
        <v>87.674348375748224</v>
      </c>
      <c r="I190">
        <v>88.989859490927998</v>
      </c>
      <c r="J190">
        <v>90.325108071570398</v>
      </c>
      <c r="K190">
        <v>91.680390233563628</v>
      </c>
      <c r="L190">
        <v>93.056006535056213</v>
      </c>
      <c r="M190">
        <v>93.195813590607926</v>
      </c>
    </row>
    <row r="191" spans="2:13">
      <c r="B191">
        <v>1.7027691722259002</v>
      </c>
      <c r="D191">
        <v>82.693073207513024</v>
      </c>
      <c r="E191">
        <v>83.933920931072763</v>
      </c>
      <c r="F191">
        <v>85.193387136863706</v>
      </c>
      <c r="G191">
        <v>86.471751172625829</v>
      </c>
      <c r="H191">
        <v>87.769296577119221</v>
      </c>
      <c r="I191">
        <v>89.086311142997417</v>
      </c>
      <c r="J191">
        <v>90.423086980623879</v>
      </c>
      <c r="K191">
        <v>91.77992058284579</v>
      </c>
      <c r="L191">
        <v>93.157112890739555</v>
      </c>
      <c r="M191">
        <v>93.297230827774101</v>
      </c>
    </row>
    <row r="192" spans="2:13">
      <c r="B192">
        <v>1.6070528182616388</v>
      </c>
      <c r="D192">
        <v>82.777226168091104</v>
      </c>
      <c r="E192">
        <v>84.019406405858888</v>
      </c>
      <c r="F192">
        <v>85.280226225461533</v>
      </c>
      <c r="G192">
        <v>86.559965308739223</v>
      </c>
      <c r="H192">
        <v>87.858907533842554</v>
      </c>
      <c r="I192">
        <v>89.177341038189581</v>
      </c>
      <c r="J192">
        <v>90.515558282367479</v>
      </c>
      <c r="K192">
        <v>91.873856114992734</v>
      </c>
      <c r="L192">
        <v>93.252535838544432</v>
      </c>
      <c r="M192">
        <v>93.392947181738364</v>
      </c>
    </row>
    <row r="193" spans="2:13">
      <c r="B193">
        <v>1.5167168884709232</v>
      </c>
      <c r="D193">
        <v>82.85664870795614</v>
      </c>
      <c r="E193">
        <v>84.100086556413814</v>
      </c>
      <c r="F193">
        <v>85.362183900255445</v>
      </c>
      <c r="G193">
        <v>86.643220736640941</v>
      </c>
      <c r="H193">
        <v>87.943481264033508</v>
      </c>
      <c r="I193">
        <v>89.263253945235789</v>
      </c>
      <c r="J193">
        <v>90.602831571371837</v>
      </c>
      <c r="K193">
        <v>91.962511326828817</v>
      </c>
      <c r="L193">
        <v>93.342594855173346</v>
      </c>
      <c r="M193">
        <v>93.483283111529076</v>
      </c>
    </row>
    <row r="194" spans="2:13">
      <c r="B194">
        <v>1.4314589375234792</v>
      </c>
      <c r="D194">
        <v>82.931606734331993</v>
      </c>
      <c r="E194">
        <v>84.176231500450882</v>
      </c>
      <c r="F194">
        <v>85.439534556118971</v>
      </c>
      <c r="G194">
        <v>86.721796196091063</v>
      </c>
      <c r="H194">
        <v>88.023300921137533</v>
      </c>
      <c r="I194">
        <v>89.344337501155039</v>
      </c>
      <c r="J194">
        <v>90.685199039224273</v>
      </c>
      <c r="K194">
        <v>92.046183036628776</v>
      </c>
      <c r="L194">
        <v>93.427591458849321</v>
      </c>
      <c r="M194">
        <v>93.568541062476527</v>
      </c>
    </row>
    <row r="195" spans="2:13">
      <c r="B195">
        <v>1.3509935211980268</v>
      </c>
      <c r="D195">
        <v>83.002351207219633</v>
      </c>
      <c r="E195">
        <v>84.248096171779736</v>
      </c>
      <c r="F195">
        <v>85.51253716359345</v>
      </c>
      <c r="G195">
        <v>86.795954758282022</v>
      </c>
      <c r="H195">
        <v>88.098633741929604</v>
      </c>
      <c r="I195">
        <v>89.420863174264454</v>
      </c>
      <c r="J195">
        <v>90.762936452788196</v>
      </c>
      <c r="K195">
        <v>92.125151377867269</v>
      </c>
      <c r="L195">
        <v>93.507810218801126</v>
      </c>
      <c r="M195">
        <v>93.649006478801979</v>
      </c>
    </row>
    <row r="196" spans="2:13">
      <c r="B196">
        <v>1.2750512407130137</v>
      </c>
      <c r="D196">
        <v>83.069118979613606</v>
      </c>
      <c r="E196">
        <v>84.315921173827235</v>
      </c>
      <c r="F196">
        <v>85.581436135923951</v>
      </c>
      <c r="G196">
        <v>86.865944706603372</v>
      </c>
      <c r="H196">
        <v>88.169731941225336</v>
      </c>
      <c r="I196">
        <v>89.493087173057646</v>
      </c>
      <c r="J196">
        <v>90.836304077472775</v>
      </c>
      <c r="K196">
        <v>92.199680737107968</v>
      </c>
      <c r="L196">
        <v>93.583519708003053</v>
      </c>
      <c r="M196">
        <v>93.724948759286988</v>
      </c>
    </row>
    <row r="197" spans="2:13">
      <c r="B197">
        <v>1.2033778407775899</v>
      </c>
      <c r="D197">
        <v>83.132133590486873</v>
      </c>
      <c r="E197">
        <v>84.379933585178662</v>
      </c>
      <c r="F197">
        <v>85.646462147355905</v>
      </c>
      <c r="G197">
        <v>86.932000367895881</v>
      </c>
      <c r="H197">
        <v>88.236833556297611</v>
      </c>
      <c r="I197">
        <v>89.561251303992123</v>
      </c>
      <c r="J197">
        <v>90.905547548603067</v>
      </c>
      <c r="K197">
        <v>92.270020639171406</v>
      </c>
      <c r="L197">
        <v>93.65497340235909</v>
      </c>
      <c r="M197">
        <v>93.796622159222409</v>
      </c>
    </row>
    <row r="198" spans="2:13">
      <c r="B198">
        <v>1.1357333583431055</v>
      </c>
      <c r="D198">
        <v>83.191606013201124</v>
      </c>
      <c r="E198">
        <v>84.440347719838741</v>
      </c>
      <c r="F198">
        <v>85.707832905434202</v>
      </c>
      <c r="G198">
        <v>86.994342896979475</v>
      </c>
      <c r="H198">
        <v>88.300163243826944</v>
      </c>
      <c r="I198">
        <v>89.625583781059049</v>
      </c>
      <c r="J198">
        <v>90.970898693808863</v>
      </c>
      <c r="K198">
        <v>92.336406582545933</v>
      </c>
      <c r="L198">
        <v>93.722410529342071</v>
      </c>
      <c r="M198">
        <v>93.864266641656897</v>
      </c>
    </row>
    <row r="199" spans="2:13">
      <c r="B199">
        <v>1.0718913192051278</v>
      </c>
      <c r="D199">
        <v>83.247735361847361</v>
      </c>
      <c r="E199">
        <v>84.497365844756729</v>
      </c>
      <c r="F199">
        <v>85.765753879890056</v>
      </c>
      <c r="G199">
        <v>87.053181017081485</v>
      </c>
      <c r="H199">
        <v>88.35993303205413</v>
      </c>
      <c r="I199">
        <v>89.686299989845622</v>
      </c>
      <c r="J199">
        <v>91.032576309185416</v>
      </c>
      <c r="K199">
        <v>92.399060827838341</v>
      </c>
      <c r="L199">
        <v>93.786056868928881</v>
      </c>
      <c r="M199">
        <v>93.928108680794878</v>
      </c>
    </row>
    <row r="200" spans="2:13">
      <c r="B200">
        <v>1.0116379797662076</v>
      </c>
      <c r="D200">
        <v>83.300709557880722</v>
      </c>
      <c r="E200">
        <v>84.551178857016978</v>
      </c>
      <c r="F200">
        <v>85.820418990554487</v>
      </c>
      <c r="G200">
        <v>87.108711718643079</v>
      </c>
      <c r="H200">
        <v>88.416343030651802</v>
      </c>
      <c r="I200">
        <v>89.743603208647215</v>
      </c>
      <c r="J200">
        <v>91.090786891824166</v>
      </c>
      <c r="K200">
        <v>92.458193141903905</v>
      </c>
      <c r="L200">
        <v>93.846125509513499</v>
      </c>
      <c r="M200">
        <v>93.988362020233794</v>
      </c>
    </row>
    <row r="201" spans="2:13">
      <c r="B201">
        <v>0.95477161142080602</v>
      </c>
      <c r="D201">
        <v>83.35070595928326</v>
      </c>
      <c r="E201">
        <v>84.601966922964223</v>
      </c>
      <c r="F201">
        <v>85.872011256603656</v>
      </c>
      <c r="G201">
        <v>87.161120918844816</v>
      </c>
      <c r="H201">
        <v>88.469582100693202</v>
      </c>
      <c r="I201">
        <v>89.79768528904458</v>
      </c>
      <c r="J201">
        <v>91.145725331166446</v>
      </c>
      <c r="K201">
        <v>92.514001500147302</v>
      </c>
      <c r="L201">
        <v>93.902817561328419</v>
      </c>
      <c r="M201">
        <v>94.04522838857919</v>
      </c>
    </row>
    <row r="202" spans="2:13">
      <c r="B202">
        <v>0.90110182516650206</v>
      </c>
      <c r="D202">
        <v>83.397891954359707</v>
      </c>
      <c r="E202">
        <v>84.649900081401626</v>
      </c>
      <c r="F202">
        <v>85.920703409308345</v>
      </c>
      <c r="G202">
        <v>87.21058408405878</v>
      </c>
      <c r="H202">
        <v>88.519828486960478</v>
      </c>
      <c r="I202">
        <v>89.848727298224517</v>
      </c>
      <c r="J202">
        <v>91.197575561494787</v>
      </c>
      <c r="K202">
        <v>92.566672749345656</v>
      </c>
      <c r="L202">
        <v>93.956322829763067</v>
      </c>
      <c r="M202">
        <v>94.098898174833494</v>
      </c>
    </row>
    <row r="203" spans="2:13">
      <c r="B203">
        <v>0.85044893418026823</v>
      </c>
      <c r="D203">
        <v>83.44242552215448</v>
      </c>
      <c r="E203">
        <v>84.695138812881822</v>
      </c>
      <c r="F203">
        <v>85.966658470339354</v>
      </c>
      <c r="G203">
        <v>87.25726681731112</v>
      </c>
      <c r="H203">
        <v>88.567250414709378</v>
      </c>
      <c r="I203">
        <v>89.896900125193895</v>
      </c>
      <c r="J203">
        <v>91.246511177746143</v>
      </c>
      <c r="K203">
        <v>92.616383233212915</v>
      </c>
      <c r="L203">
        <v>94.006820450833658</v>
      </c>
      <c r="M203">
        <v>94.149551065819736</v>
      </c>
    </row>
    <row r="204" spans="2:13">
      <c r="B204">
        <v>0.8026433522257177</v>
      </c>
      <c r="D204">
        <v>83.484455761366618</v>
      </c>
      <c r="E204">
        <v>84.73783457699686</v>
      </c>
      <c r="F204">
        <v>86.010030297565152</v>
      </c>
      <c r="G204">
        <v>87.301325412722022</v>
      </c>
      <c r="H204">
        <v>88.61200665288851</v>
      </c>
      <c r="I204">
        <v>89.942365052917197</v>
      </c>
      <c r="J204">
        <v>91.292696016708973</v>
      </c>
      <c r="K204">
        <v>92.663299382799778</v>
      </c>
      <c r="L204">
        <v>94.054479490931811</v>
      </c>
      <c r="M204">
        <v>94.197356647774285</v>
      </c>
    </row>
    <row r="205" spans="2:13">
      <c r="B205">
        <v>0.7575250258771915</v>
      </c>
      <c r="D205">
        <v>83.524123389533642</v>
      </c>
      <c r="E205">
        <v>84.778130319466342</v>
      </c>
      <c r="F205">
        <v>86.050964100169367</v>
      </c>
      <c r="G205">
        <v>87.342907378779842</v>
      </c>
      <c r="H205">
        <v>88.654247045699108</v>
      </c>
      <c r="I205">
        <v>89.985274298293248</v>
      </c>
      <c r="J205">
        <v>91.336284705549971</v>
      </c>
      <c r="K205">
        <v>92.707578273706062</v>
      </c>
      <c r="L205">
        <v>94.099459512860022</v>
      </c>
      <c r="M205">
        <v>94.242474974122814</v>
      </c>
    </row>
    <row r="206" spans="2:13">
      <c r="B206">
        <v>0.71494289865975802</v>
      </c>
      <c r="D206">
        <v>83.561561214154452</v>
      </c>
      <c r="E206">
        <v>84.816160950720246</v>
      </c>
      <c r="F206">
        <v>86.089596924811801</v>
      </c>
      <c r="G206">
        <v>87.382151932200202</v>
      </c>
      <c r="H206">
        <v>88.694113014274237</v>
      </c>
      <c r="I206">
        <v>90.025771521778225</v>
      </c>
      <c r="J206">
        <v>91.37742317950682</v>
      </c>
      <c r="K206">
        <v>92.749368151970842</v>
      </c>
      <c r="L206">
        <v>94.141911110049008</v>
      </c>
      <c r="M206">
        <v>94.285057101340243</v>
      </c>
    </row>
    <row r="207" spans="2:13">
      <c r="B207">
        <v>0.67475440531106945</v>
      </c>
      <c r="D207">
        <v>83.596894577330048</v>
      </c>
      <c r="E207">
        <v>84.852053797580396</v>
      </c>
      <c r="F207">
        <v>86.12605811446204</v>
      </c>
      <c r="G207">
        <v>87.41919046402495</v>
      </c>
      <c r="H207">
        <v>88.731738030158027</v>
      </c>
      <c r="I207">
        <v>90.063992308362174</v>
      </c>
      <c r="J207">
        <v>91.416249170480683</v>
      </c>
      <c r="K207">
        <v>92.788808930401473</v>
      </c>
      <c r="L207">
        <v>94.18197641074569</v>
      </c>
      <c r="M207">
        <v>94.325245594688937</v>
      </c>
    </row>
    <row r="208" spans="2:13">
      <c r="B208">
        <v>0.63682499447185881</v>
      </c>
      <c r="D208">
        <v>83.630241775409644</v>
      </c>
      <c r="E208">
        <v>84.885929029551292</v>
      </c>
      <c r="F208">
        <v>86.16046974144021</v>
      </c>
      <c r="G208">
        <v>87.454146979519862</v>
      </c>
      <c r="H208">
        <v>88.767248062169074</v>
      </c>
      <c r="I208">
        <v>90.100064621508167</v>
      </c>
      <c r="J208">
        <v>91.452892668163187</v>
      </c>
      <c r="K208">
        <v>92.826032657002358</v>
      </c>
      <c r="L208">
        <v>94.219789553859442</v>
      </c>
      <c r="M208">
        <v>94.363175005528134</v>
      </c>
    </row>
    <row r="209" spans="2:13">
      <c r="B209">
        <v>0.6010276782070384</v>
      </c>
      <c r="D209">
        <v>83.661714455047672</v>
      </c>
      <c r="E209">
        <v>84.9179000611486</v>
      </c>
      <c r="F209">
        <v>86.192947016116264</v>
      </c>
      <c r="G209">
        <v>87.487138513345542</v>
      </c>
      <c r="H209">
        <v>88.800761998145148</v>
      </c>
      <c r="I209">
        <v>90.134109231575195</v>
      </c>
      <c r="J209">
        <v>91.487476355243189</v>
      </c>
      <c r="K209">
        <v>92.861163957072847</v>
      </c>
      <c r="L209">
        <v>94.255477138060286</v>
      </c>
      <c r="M209">
        <v>94.398972321792968</v>
      </c>
    </row>
    <row r="210" spans="2:13">
      <c r="B210">
        <v>0.56724260684919792</v>
      </c>
      <c r="D210">
        <v>83.691417986997578</v>
      </c>
      <c r="E210">
        <v>84.948073931611617</v>
      </c>
      <c r="F210">
        <v>86.223598672634921</v>
      </c>
      <c r="G210">
        <v>87.518275521389938</v>
      </c>
      <c r="H210">
        <v>88.832392042980288</v>
      </c>
      <c r="I210">
        <v>90.16624012015788</v>
      </c>
      <c r="J210">
        <v>91.520116018148954</v>
      </c>
      <c r="K210">
        <v>92.894320450453364</v>
      </c>
      <c r="L210">
        <v>94.289158645631787</v>
      </c>
      <c r="M210">
        <v>94.432757393150808</v>
      </c>
    </row>
    <row r="211" spans="2:13">
      <c r="B211">
        <v>0.5353566677410726</v>
      </c>
      <c r="D211">
        <v>83.719451818893873</v>
      </c>
      <c r="E211">
        <v>84.976551663271522</v>
      </c>
      <c r="F211">
        <v>86.252527332958408</v>
      </c>
      <c r="G211">
        <v>87.547662250575584</v>
      </c>
      <c r="H211">
        <v>88.862244094287675</v>
      </c>
      <c r="I211">
        <v>90.196564861697837</v>
      </c>
      <c r="J211">
        <v>91.55092093470212</v>
      </c>
      <c r="K211">
        <v>92.925613145317641</v>
      </c>
      <c r="L211">
        <v>94.320946842498955</v>
      </c>
      <c r="M211">
        <v>94.46464333225893</v>
      </c>
    </row>
    <row r="212" spans="2:13">
      <c r="B212">
        <v>0.5052631065335681</v>
      </c>
      <c r="D212">
        <v>83.745909808203564</v>
      </c>
      <c r="E212">
        <v>85.003428599774878</v>
      </c>
      <c r="F212">
        <v>86.279829850445637</v>
      </c>
      <c r="G212">
        <v>87.575397087879225</v>
      </c>
      <c r="H212">
        <v>88.890418096945808</v>
      </c>
      <c r="I212">
        <v>90.225184983643757</v>
      </c>
      <c r="J212">
        <v>91.579994239980721</v>
      </c>
      <c r="K212">
        <v>92.955146809828918</v>
      </c>
      <c r="L212">
        <v>94.350948155769188</v>
      </c>
      <c r="M212">
        <v>94.494736893466438</v>
      </c>
    </row>
    <row r="213" spans="2:13">
      <c r="B213">
        <v>0.47686116977144716</v>
      </c>
      <c r="D213">
        <v>83.770880536461505</v>
      </c>
      <c r="E213">
        <v>85.028794725294645</v>
      </c>
      <c r="F213">
        <v>86.305597634117731</v>
      </c>
      <c r="G213">
        <v>87.601572889731756</v>
      </c>
      <c r="H213">
        <v>88.917008377714325</v>
      </c>
      <c r="I213">
        <v>90.252196306365846</v>
      </c>
      <c r="J213">
        <v>91.607433271615932</v>
      </c>
      <c r="K213">
        <v>92.983020322904309</v>
      </c>
      <c r="L213">
        <v>94.379263030050964</v>
      </c>
      <c r="M213">
        <v>94.523138830228547</v>
      </c>
    </row>
    <row r="214" spans="2:13">
      <c r="B214">
        <v>0.45005576757004984</v>
      </c>
      <c r="D214">
        <v>83.794447605842109</v>
      </c>
      <c r="E214">
        <v>85.052734965798123</v>
      </c>
      <c r="F214">
        <v>86.329916954696287</v>
      </c>
      <c r="G214">
        <v>87.6262772929025</v>
      </c>
      <c r="H214">
        <v>88.942103961040829</v>
      </c>
      <c r="I214">
        <v>90.277689263963111</v>
      </c>
      <c r="J214">
        <v>91.633329895679239</v>
      </c>
      <c r="K214">
        <v>93.009327005262278</v>
      </c>
      <c r="L214">
        <v>94.405986263743159</v>
      </c>
      <c r="M214">
        <v>94.549944232429951</v>
      </c>
    </row>
    <row r="215" spans="2:13">
      <c r="B215">
        <v>0.42475715525369001</v>
      </c>
      <c r="D215">
        <v>83.816689919059925</v>
      </c>
      <c r="E215">
        <v>85.075329473379384</v>
      </c>
      <c r="F215">
        <v>86.35286923343817</v>
      </c>
      <c r="G215">
        <v>87.649593007907612</v>
      </c>
      <c r="H215">
        <v>88.965788867115407</v>
      </c>
      <c r="I215">
        <v>90.301749207037503</v>
      </c>
      <c r="J215">
        <v>91.657770814250767</v>
      </c>
      <c r="K215">
        <v>93.034154931860968</v>
      </c>
      <c r="L215">
        <v>94.431207326420747</v>
      </c>
      <c r="M215">
        <v>94.575242844746313</v>
      </c>
    </row>
    <row r="216" spans="2:13">
      <c r="B216">
        <v>0.40088063288984654</v>
      </c>
      <c r="D216">
        <v>83.837681943536481</v>
      </c>
      <c r="E216">
        <v>85.096653894609162</v>
      </c>
      <c r="F216">
        <v>86.374531314734483</v>
      </c>
      <c r="G216">
        <v>87.671598095925319</v>
      </c>
      <c r="H216">
        <v>88.988142393170605</v>
      </c>
      <c r="I216">
        <v>90.324456688448095</v>
      </c>
      <c r="J216">
        <v>91.680837855698229</v>
      </c>
      <c r="K216">
        <v>93.057587226773748</v>
      </c>
      <c r="L216">
        <v>94.455010658379436</v>
      </c>
      <c r="M216">
        <v>94.599119367110148</v>
      </c>
    </row>
    <row r="217" spans="2:13">
      <c r="B217">
        <v>0.37834626171319302</v>
      </c>
      <c r="D217">
        <v>83.857493960717889</v>
      </c>
      <c r="E217">
        <v>85.116779623800255</v>
      </c>
      <c r="F217">
        <v>86.394975723386281</v>
      </c>
      <c r="G217">
        <v>87.692366230145609</v>
      </c>
      <c r="H217">
        <v>89.009239378969411</v>
      </c>
      <c r="I217">
        <v>90.345887733002897</v>
      </c>
      <c r="J217">
        <v>91.702608248639194</v>
      </c>
      <c r="K217">
        <v>93.079702341489295</v>
      </c>
      <c r="L217">
        <v>94.477475953342591</v>
      </c>
      <c r="M217">
        <v>94.62165373828681</v>
      </c>
    </row>
    <row r="218" spans="2:13">
      <c r="B218">
        <v>0.35707859649004642</v>
      </c>
      <c r="D218">
        <v>83.876192301377458</v>
      </c>
      <c r="E218">
        <v>85.135774042036005</v>
      </c>
      <c r="F218">
        <v>86.414270907418015</v>
      </c>
      <c r="G218">
        <v>87.711966942428418</v>
      </c>
      <c r="H218">
        <v>89.02915045736917</v>
      </c>
      <c r="I218">
        <v>90.366114091990312</v>
      </c>
      <c r="J218">
        <v>91.723154880502832</v>
      </c>
      <c r="K218">
        <v>93.100574317567776</v>
      </c>
      <c r="L218">
        <v>94.498678425276267</v>
      </c>
      <c r="M218">
        <v>94.642921403509959</v>
      </c>
    </row>
    <row r="219" spans="2:13">
      <c r="B219">
        <v>0.3370064329271929</v>
      </c>
      <c r="D219">
        <v>83.893839567691501</v>
      </c>
      <c r="E219">
        <v>85.15370074276251</v>
      </c>
      <c r="F219">
        <v>86.432481467241786</v>
      </c>
      <c r="G219">
        <v>87.730465856096615</v>
      </c>
      <c r="H219">
        <v>89.047942290800705</v>
      </c>
      <c r="I219">
        <v>90.385203483402833</v>
      </c>
      <c r="J219">
        <v>91.742546541557516</v>
      </c>
      <c r="K219">
        <v>93.120273034532275</v>
      </c>
      <c r="L219">
        <v>94.518689060206057</v>
      </c>
      <c r="M219">
        <v>94.662993567072803</v>
      </c>
    </row>
    <row r="220" spans="2:13">
      <c r="B220">
        <v>0.31806256927941201</v>
      </c>
      <c r="D220">
        <v>83.910494842832321</v>
      </c>
      <c r="E220">
        <v>85.170619744700488</v>
      </c>
      <c r="F220">
        <v>86.449668371940561</v>
      </c>
      <c r="G220">
        <v>87.747924905643842</v>
      </c>
      <c r="H220">
        <v>89.065677794455084</v>
      </c>
      <c r="I220">
        <v>90.403219818657703</v>
      </c>
      <c r="J220">
        <v>91.760848155221368</v>
      </c>
      <c r="K220">
        <v>93.138864443826236</v>
      </c>
      <c r="L220">
        <v>94.537574853878894</v>
      </c>
      <c r="M220">
        <v>94.681937430720595</v>
      </c>
    </row>
    <row r="221" spans="2:13">
      <c r="B221">
        <v>0.30018358135755896</v>
      </c>
      <c r="D221">
        <v>83.926213888778463</v>
      </c>
      <c r="E221">
        <v>85.18658769278764</v>
      </c>
      <c r="F221">
        <v>86.46588916339239</v>
      </c>
      <c r="G221">
        <v>87.764402544091027</v>
      </c>
      <c r="H221">
        <v>89.082416346923523</v>
      </c>
      <c r="I221">
        <v>90.420223416572355</v>
      </c>
      <c r="J221">
        <v>91.778120995425937</v>
      </c>
      <c r="K221">
        <v>93.156410789619059</v>
      </c>
      <c r="L221">
        <v>94.555399036065225</v>
      </c>
      <c r="M221">
        <v>94.699816418642442</v>
      </c>
    </row>
    <row r="222" spans="2:13">
      <c r="B222">
        <v>0.28330961018393253</v>
      </c>
      <c r="D222">
        <v>83.941049333006717</v>
      </c>
      <c r="E222">
        <v>85.201658047826896</v>
      </c>
      <c r="F222">
        <v>86.48119814892155</v>
      </c>
      <c r="G222">
        <v>87.77995393868801</v>
      </c>
      <c r="H222">
        <v>89.098213988997884</v>
      </c>
      <c r="I222">
        <v>90.436271205312664</v>
      </c>
      <c r="J222">
        <v>91.794422891762181</v>
      </c>
      <c r="K222">
        <v>93.172970817200323</v>
      </c>
      <c r="L222">
        <v>94.572221282252769</v>
      </c>
      <c r="M222">
        <v>94.716690389816065</v>
      </c>
    </row>
    <row r="223" spans="2:13">
      <c r="B223">
        <v>0.2673841615839947</v>
      </c>
      <c r="D223">
        <v>83.955050844689097</v>
      </c>
      <c r="E223">
        <v>85.2158812654733</v>
      </c>
      <c r="F223">
        <v>86.495646583119665</v>
      </c>
      <c r="G223">
        <v>87.794631155613686</v>
      </c>
      <c r="H223">
        <v>89.113123611295308</v>
      </c>
      <c r="I223">
        <v>90.451416912988563</v>
      </c>
      <c r="J223">
        <v>91.809808423094069</v>
      </c>
      <c r="K223">
        <v>93.188599969659236</v>
      </c>
      <c r="L223">
        <v>94.588097913440492</v>
      </c>
      <c r="M223">
        <v>94.73261583841601</v>
      </c>
    </row>
    <row r="224" spans="2:13">
      <c r="B224">
        <v>0.25235391704347665</v>
      </c>
      <c r="D224">
        <v>83.968265300985223</v>
      </c>
      <c r="E224">
        <v>85.229304965159628</v>
      </c>
      <c r="F224">
        <v>86.509282839446115</v>
      </c>
      <c r="G224">
        <v>87.808483334293612</v>
      </c>
      <c r="H224">
        <v>89.127195131336236</v>
      </c>
      <c r="I224">
        <v>90.465711247536021</v>
      </c>
      <c r="J224">
        <v>91.824329100288892</v>
      </c>
      <c r="K224">
        <v>93.203350573508331</v>
      </c>
      <c r="L224">
        <v>94.603082084701512</v>
      </c>
      <c r="M224">
        <v>94.747646082956521</v>
      </c>
    </row>
    <row r="225" spans="2:13">
      <c r="B225">
        <v>0.23816855519761593</v>
      </c>
      <c r="D225">
        <v>83.980736943988404</v>
      </c>
      <c r="E225">
        <v>85.241974089527503</v>
      </c>
      <c r="F225">
        <v>86.522152572183643</v>
      </c>
      <c r="G225">
        <v>87.821556851920079</v>
      </c>
      <c r="H225">
        <v>89.14047566066931</v>
      </c>
      <c r="I225">
        <v>90.479202066488199</v>
      </c>
      <c r="J225">
        <v>91.838033538676527</v>
      </c>
      <c r="K225">
        <v>93.217272013873554</v>
      </c>
      <c r="L225">
        <v>94.617223963147055</v>
      </c>
      <c r="M225">
        <v>94.761831444802382</v>
      </c>
    </row>
    <row r="226" spans="2:13">
      <c r="B226">
        <v>0.22478058335487258</v>
      </c>
      <c r="D226">
        <v>83.992507528847142</v>
      </c>
      <c r="E226">
        <v>85.253931054894466</v>
      </c>
      <c r="F226">
        <v>86.534298869288051</v>
      </c>
      <c r="G226">
        <v>87.833895478722184</v>
      </c>
      <c r="H226">
        <v>89.153009662600326</v>
      </c>
      <c r="I226">
        <v>90.491934537202013</v>
      </c>
      <c r="J226">
        <v>91.850967620813321</v>
      </c>
      <c r="K226">
        <v>93.230410899835377</v>
      </c>
      <c r="L226">
        <v>94.630570895885853</v>
      </c>
      <c r="M226">
        <v>94.775219416645129</v>
      </c>
    </row>
    <row r="227" spans="2:13">
      <c r="B227">
        <v>0.21214517849106301</v>
      </c>
      <c r="D227">
        <v>84.003616463562594</v>
      </c>
      <c r="E227">
        <v>85.265215893264909</v>
      </c>
      <c r="F227">
        <v>86.545762396647703</v>
      </c>
      <c r="G227">
        <v>87.845540524509417</v>
      </c>
      <c r="H227">
        <v>89.164839101056089</v>
      </c>
      <c r="I227">
        <v>90.503951288079207</v>
      </c>
      <c r="J227">
        <v>91.863174650097463</v>
      </c>
      <c r="K227">
        <v>93.242811220476682</v>
      </c>
      <c r="L227">
        <v>94.643167568542893</v>
      </c>
      <c r="M227">
        <v>94.787854821508944</v>
      </c>
    </row>
    <row r="228" spans="2:13">
      <c r="B228">
        <v>0.20022003718155848</v>
      </c>
      <c r="D228">
        <v>84.014100940926625</v>
      </c>
      <c r="E228">
        <v>85.275866386357421</v>
      </c>
      <c r="F228">
        <v>86.556581534233175</v>
      </c>
      <c r="G228">
        <v>87.856530976977353</v>
      </c>
      <c r="H228">
        <v>89.17600358108011</v>
      </c>
      <c r="I228">
        <v>90.515292551286549</v>
      </c>
      <c r="J228">
        <v>91.874695495749151</v>
      </c>
      <c r="K228">
        <v>93.254514492158478</v>
      </c>
      <c r="L228">
        <v>94.655056154867097</v>
      </c>
      <c r="M228">
        <v>94.799779962818448</v>
      </c>
    </row>
    <row r="229" spans="2:13">
      <c r="B229">
        <v>0.18896523396912102</v>
      </c>
      <c r="D229">
        <v>84.023996063043427</v>
      </c>
      <c r="E229">
        <v>85.285918192097938</v>
      </c>
      <c r="F229">
        <v>86.56679250459338</v>
      </c>
      <c r="G229">
        <v>87.866903632238362</v>
      </c>
      <c r="H229">
        <v>89.186540481430242</v>
      </c>
      <c r="I229">
        <v>90.525996297453275</v>
      </c>
      <c r="J229">
        <v>91.885568729640951</v>
      </c>
      <c r="K229">
        <v>93.265559897516951</v>
      </c>
      <c r="L229">
        <v>94.666276457929371</v>
      </c>
      <c r="M229">
        <v>94.811034766030872</v>
      </c>
    </row>
    <row r="230" spans="2:13">
      <c r="B230">
        <v>0.17834308769319096</v>
      </c>
      <c r="D230">
        <v>84.03333495885164</v>
      </c>
      <c r="E230">
        <v>85.295404964003026</v>
      </c>
      <c r="F230">
        <v>86.576429494129144</v>
      </c>
      <c r="G230">
        <v>87.876693218015433</v>
      </c>
      <c r="H230">
        <v>89.196485079723203</v>
      </c>
      <c r="I230">
        <v>90.536098362797034</v>
      </c>
      <c r="J230">
        <v>91.895830755436592</v>
      </c>
      <c r="K230">
        <v>93.275984416647134</v>
      </c>
      <c r="L230">
        <v>94.676866043383512</v>
      </c>
      <c r="M230">
        <v>94.821656912306807</v>
      </c>
    </row>
    <row r="231" spans="2:13">
      <c r="B231">
        <v>0.16831803533309572</v>
      </c>
      <c r="D231">
        <v>84.042148895040285</v>
      </c>
      <c r="E231">
        <v>85.304358463851926</v>
      </c>
      <c r="F231">
        <v>86.585524767549387</v>
      </c>
      <c r="G231">
        <v>87.885932509910788</v>
      </c>
      <c r="H231">
        <v>89.205870670544215</v>
      </c>
      <c r="I231">
        <v>90.545632569103873</v>
      </c>
      <c r="J231">
        <v>91.905515930470841</v>
      </c>
      <c r="K231">
        <v>93.285822950912632</v>
      </c>
      <c r="L231">
        <v>94.686860365236342</v>
      </c>
      <c r="M231">
        <v>94.831681964666899</v>
      </c>
    </row>
    <row r="232" spans="2:13">
      <c r="B232">
        <v>0.15885651294280534</v>
      </c>
      <c r="D232">
        <v>84.050467380729955</v>
      </c>
      <c r="E232">
        <v>85.312808668025369</v>
      </c>
      <c r="F232">
        <v>86.594108775893758</v>
      </c>
      <c r="G232">
        <v>87.894652441138945</v>
      </c>
      <c r="H232">
        <v>89.214728676917616</v>
      </c>
      <c r="I232">
        <v>90.55463083696381</v>
      </c>
      <c r="J232">
        <v>91.914656680778094</v>
      </c>
      <c r="K232">
        <v>93.295108439795598</v>
      </c>
      <c r="L232">
        <v>94.696292884547944</v>
      </c>
      <c r="M232">
        <v>94.841143487057195</v>
      </c>
    </row>
    <row r="233" spans="2:13">
      <c r="B233">
        <v>0.14992684327860459</v>
      </c>
      <c r="D233">
        <v>84.058318266269382</v>
      </c>
      <c r="E233">
        <v>85.320783867866453</v>
      </c>
      <c r="F233">
        <v>86.602210258482685</v>
      </c>
      <c r="G233">
        <v>87.902882206091121</v>
      </c>
      <c r="H233">
        <v>89.223088755511171</v>
      </c>
      <c r="I233">
        <v>90.56312329264108</v>
      </c>
      <c r="J233">
        <v>91.923283609654803</v>
      </c>
      <c r="K233">
        <v>93.303871971178282</v>
      </c>
      <c r="L233">
        <v>94.705195181459501</v>
      </c>
      <c r="M233">
        <v>94.850073156721393</v>
      </c>
    </row>
    <row r="234" spans="2:13">
      <c r="B234">
        <v>0.1414991297434576</v>
      </c>
      <c r="D234">
        <v>84.065727836478814</v>
      </c>
      <c r="E234">
        <v>85.328310764400626</v>
      </c>
      <c r="F234">
        <v>86.60985633913711</v>
      </c>
      <c r="G234">
        <v>87.910649358078473</v>
      </c>
      <c r="H234">
        <v>89.23097889592708</v>
      </c>
      <c r="I234">
        <v>90.571138368937255</v>
      </c>
      <c r="J234">
        <v>91.931425600119766</v>
      </c>
      <c r="K234">
        <v>93.312142885425629</v>
      </c>
      <c r="L234">
        <v>94.713597060923902</v>
      </c>
      <c r="M234">
        <v>94.858500870256549</v>
      </c>
    </row>
    <row r="235" spans="2:13">
      <c r="B235">
        <v>0.13354515629298994</v>
      </c>
      <c r="D235">
        <v>84.072720898651482</v>
      </c>
      <c r="E235">
        <v>85.335414557730445</v>
      </c>
      <c r="F235">
        <v>86.617072616988906</v>
      </c>
      <c r="G235">
        <v>87.917979901580594</v>
      </c>
      <c r="H235">
        <v>89.23842551441102</v>
      </c>
      <c r="I235">
        <v>90.578702900384258</v>
      </c>
      <c r="J235">
        <v>91.939109911614452</v>
      </c>
      <c r="K235">
        <v>93.319948873616852</v>
      </c>
      <c r="L235">
        <v>94.721526652492841</v>
      </c>
      <c r="M235">
        <v>94.866454843707004</v>
      </c>
    </row>
    <row r="236" spans="2:13">
      <c r="B236">
        <v>0.12603829296797278</v>
      </c>
      <c r="D236">
        <v>84.079320865608977</v>
      </c>
      <c r="E236">
        <v>85.342119031406227</v>
      </c>
      <c r="F236">
        <v>86.623883252187341</v>
      </c>
      <c r="G236">
        <v>87.924898379308928</v>
      </c>
      <c r="H236">
        <v>89.245453542294314</v>
      </c>
      <c r="I236">
        <v>90.585842213086821</v>
      </c>
      <c r="J236">
        <v>91.946362271268029</v>
      </c>
      <c r="K236">
        <v>93.327316070255506</v>
      </c>
      <c r="L236">
        <v>94.729010504494866</v>
      </c>
      <c r="M236">
        <v>94.873961707032024</v>
      </c>
    </row>
    <row r="237" spans="2:13">
      <c r="B237">
        <v>0.11895340673703197</v>
      </c>
      <c r="D237">
        <v>84.085549834087217</v>
      </c>
      <c r="E237">
        <v>85.348446632053097</v>
      </c>
      <c r="F237">
        <v>86.630311046787057</v>
      </c>
      <c r="G237">
        <v>87.931427954375678</v>
      </c>
      <c r="H237">
        <v>89.252086509463837</v>
      </c>
      <c r="I237">
        <v>90.592580209514182</v>
      </c>
      <c r="J237">
        <v>91.953206960031707</v>
      </c>
      <c r="K237">
        <v>93.334269140767901</v>
      </c>
      <c r="L237">
        <v>94.736073672919261</v>
      </c>
      <c r="M237">
        <v>94.881046593262965</v>
      </c>
    </row>
    <row r="238" spans="2:13">
      <c r="B238">
        <v>0.11226677735108136</v>
      </c>
      <c r="D238">
        <v>84.09142865871658</v>
      </c>
      <c r="E238">
        <v>85.35441854452263</v>
      </c>
      <c r="F238">
        <v>86.636377521089713</v>
      </c>
      <c r="G238">
        <v>87.937590487844247</v>
      </c>
      <c r="H238">
        <v>89.258346623140483</v>
      </c>
      <c r="I238">
        <v>90.598939448525954</v>
      </c>
      <c r="J238">
        <v>91.959666893971828</v>
      </c>
      <c r="K238">
        <v>93.340831364083215</v>
      </c>
      <c r="L238">
        <v>94.742739805303756</v>
      </c>
      <c r="M238">
        <v>94.887733222648919</v>
      </c>
    </row>
    <row r="239" spans="2:13">
      <c r="B239">
        <v>0.10595601792776163</v>
      </c>
      <c r="D239">
        <v>94.058380303181124</v>
      </c>
      <c r="E239">
        <v>94.089896986804959</v>
      </c>
      <c r="F239">
        <v>94.136559511308249</v>
      </c>
      <c r="G239">
        <v>94.198643926957374</v>
      </c>
      <c r="H239">
        <v>94.276430545023985</v>
      </c>
      <c r="I239">
        <v>94.370204002020643</v>
      </c>
      <c r="J239">
        <v>94.48025332490154</v>
      </c>
      <c r="K239">
        <v>94.606871997243061</v>
      </c>
      <c r="L239">
        <v>94.750358026418681</v>
      </c>
      <c r="M239">
        <v>94.894043982072233</v>
      </c>
    </row>
    <row r="240" spans="2:13">
      <c r="B240">
        <v>0.10000000000000002</v>
      </c>
      <c r="D240">
        <v>93.689676090672037</v>
      </c>
      <c r="E240">
        <v>93.834370542382999</v>
      </c>
      <c r="F240">
        <v>93.979288460384268</v>
      </c>
      <c r="G240">
        <v>94.124430189797451</v>
      </c>
      <c r="H240">
        <v>94.269796076277188</v>
      </c>
      <c r="I240">
        <v>94.41538646601191</v>
      </c>
      <c r="J240">
        <v>94.561201705724727</v>
      </c>
      <c r="K240">
        <v>94.707242142674247</v>
      </c>
      <c r="L240">
        <v>94.85350812465532</v>
      </c>
      <c r="M240">
        <v>95</v>
      </c>
    </row>
  </sheetData>
  <dataValidations count="2">
    <dataValidation type="list" allowBlank="1" showInputMessage="1" showErrorMessage="1" sqref="C10">
      <formula1>$L$10:$L$12</formula1>
    </dataValidation>
    <dataValidation type="list" allowBlank="1" showInputMessage="1" showErrorMessage="1" sqref="C9">
      <formula1>$L$8:$L$9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B2:I12"/>
  <sheetViews>
    <sheetView tabSelected="1" workbookViewId="0">
      <selection activeCell="G6" sqref="G6"/>
    </sheetView>
  </sheetViews>
  <sheetFormatPr defaultRowHeight="15"/>
  <cols>
    <col min="9" max="9" width="9.42578125" bestFit="1" customWidth="1"/>
  </cols>
  <sheetData>
    <row r="2" spans="2:9">
      <c r="B2" t="s">
        <v>42</v>
      </c>
      <c r="C2">
        <v>101</v>
      </c>
    </row>
    <row r="3" spans="2:9">
      <c r="B3" t="s">
        <v>16</v>
      </c>
      <c r="C3">
        <v>150</v>
      </c>
    </row>
    <row r="4" spans="2:9">
      <c r="B4" t="s">
        <v>26</v>
      </c>
      <c r="C4">
        <v>100</v>
      </c>
      <c r="F4" s="3" t="s">
        <v>18</v>
      </c>
    </row>
    <row r="5" spans="2:9">
      <c r="B5" t="s">
        <v>37</v>
      </c>
      <c r="C5">
        <v>150</v>
      </c>
      <c r="F5" t="s">
        <v>19</v>
      </c>
      <c r="G5" t="s">
        <v>20</v>
      </c>
      <c r="I5" t="s">
        <v>20</v>
      </c>
    </row>
    <row r="6" spans="2:9">
      <c r="B6" t="s">
        <v>36</v>
      </c>
      <c r="C6">
        <v>20</v>
      </c>
      <c r="F6" t="s">
        <v>24</v>
      </c>
      <c r="G6" t="s">
        <v>41</v>
      </c>
      <c r="I6" t="s">
        <v>21</v>
      </c>
    </row>
    <row r="7" spans="2:9">
      <c r="B7" t="s">
        <v>38</v>
      </c>
      <c r="C7">
        <v>0.25</v>
      </c>
      <c r="I7" t="s">
        <v>22</v>
      </c>
    </row>
    <row r="8" spans="2:9">
      <c r="B8" t="s">
        <v>39</v>
      </c>
      <c r="C8">
        <v>0.2</v>
      </c>
      <c r="I8" t="s">
        <v>25</v>
      </c>
    </row>
    <row r="9" spans="2:9">
      <c r="B9" t="s">
        <v>29</v>
      </c>
      <c r="C9">
        <v>0.08</v>
      </c>
      <c r="I9" t="s">
        <v>41</v>
      </c>
    </row>
    <row r="10" spans="2:9">
      <c r="B10" t="s">
        <v>40</v>
      </c>
      <c r="C10">
        <v>100</v>
      </c>
    </row>
    <row r="12" spans="2:9">
      <c r="C12">
        <v>0</v>
      </c>
    </row>
  </sheetData>
  <dataValidations count="2">
    <dataValidation type="list" allowBlank="1" showInputMessage="1" showErrorMessage="1" sqref="G5">
      <formula1>$I$5:$I$6</formula1>
    </dataValidation>
    <dataValidation type="list" allowBlank="1" showInputMessage="1" showErrorMessage="1" sqref="G6">
      <formula1>$I$7:$I$9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Volatility</vt:lpstr>
      <vt:lpstr>Options</vt:lpstr>
      <vt:lpstr>FinitePrice</vt:lpstr>
      <vt:lpstr>montecarlo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2013-03-25T17:44:16Z</dcterms:modified>
</cp:coreProperties>
</file>